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33C9A674-7816-40AC-AAB7-87D3B959D232}" xr6:coauthVersionLast="47" xr6:coauthVersionMax="47" xr10:uidLastSave="{00000000-0000-0000-0000-000000000000}"/>
  <bookViews>
    <workbookView xWindow="-120" yWindow="-120" windowWidth="20730" windowHeight="11160" tabRatio="801" xr2:uid="{8748D91F-08A8-42D1-BEDF-C1CCD413925B}"/>
  </bookViews>
  <sheets>
    <sheet name="DETALLE DE PRODUCTOS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  <sheet name="8" sheetId="9" r:id="rId9"/>
    <sheet name="9" sheetId="10" r:id="rId10"/>
    <sheet name="10" sheetId="11" r:id="rId11"/>
    <sheet name="11" sheetId="12" r:id="rId12"/>
    <sheet name="12" sheetId="13" r:id="rId13"/>
    <sheet name="13" sheetId="14" r:id="rId14"/>
    <sheet name="14" sheetId="15" r:id="rId15"/>
    <sheet name="15" sheetId="16" r:id="rId16"/>
    <sheet name="16" sheetId="17" r:id="rId17"/>
    <sheet name="17" sheetId="18" r:id="rId18"/>
    <sheet name="18" sheetId="19" r:id="rId19"/>
    <sheet name="19" sheetId="20" r:id="rId20"/>
    <sheet name="20" sheetId="21" r:id="rId21"/>
    <sheet name="21" sheetId="22" r:id="rId22"/>
    <sheet name="22" sheetId="23" r:id="rId23"/>
    <sheet name="23" sheetId="24" r:id="rId24"/>
    <sheet name="24" sheetId="25" r:id="rId25"/>
    <sheet name="25" sheetId="26" r:id="rId26"/>
    <sheet name="26" sheetId="27" r:id="rId27"/>
    <sheet name="27" sheetId="28" r:id="rId28"/>
    <sheet name="28" sheetId="29" r:id="rId29"/>
    <sheet name="29" sheetId="30" r:id="rId30"/>
    <sheet name="30" sheetId="31" r:id="rId31"/>
    <sheet name="31" sheetId="32" r:id="rId32"/>
    <sheet name="32" sheetId="33" r:id="rId33"/>
    <sheet name="33" sheetId="34" r:id="rId34"/>
    <sheet name="34" sheetId="35" r:id="rId35"/>
    <sheet name="35" sheetId="36" r:id="rId36"/>
    <sheet name="36" sheetId="37" r:id="rId37"/>
    <sheet name="37" sheetId="38" r:id="rId38"/>
    <sheet name="38" sheetId="39" r:id="rId39"/>
    <sheet name="39" sheetId="40" r:id="rId40"/>
    <sheet name="40" sheetId="41" r:id="rId41"/>
    <sheet name="41" sheetId="42" r:id="rId42"/>
    <sheet name="42" sheetId="43" r:id="rId43"/>
    <sheet name="43" sheetId="44" r:id="rId44"/>
    <sheet name="44" sheetId="45" r:id="rId45"/>
    <sheet name="45" sheetId="46" r:id="rId46"/>
    <sheet name="46" sheetId="47" r:id="rId47"/>
    <sheet name="47" sheetId="48" r:id="rId48"/>
    <sheet name="48" sheetId="49" r:id="rId49"/>
    <sheet name="49" sheetId="50" r:id="rId50"/>
    <sheet name="50" sheetId="51" r:id="rId5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" i="51" l="1"/>
  <c r="A17" i="51"/>
  <c r="A16" i="51"/>
  <c r="A15" i="51"/>
  <c r="A14" i="51"/>
  <c r="A13" i="51"/>
  <c r="A12" i="51"/>
  <c r="A11" i="51"/>
  <c r="A10" i="51"/>
  <c r="C4" i="51"/>
  <c r="C3" i="51"/>
  <c r="A15" i="50"/>
  <c r="A14" i="50"/>
  <c r="A13" i="50"/>
  <c r="A12" i="50"/>
  <c r="A11" i="50"/>
  <c r="A10" i="50"/>
  <c r="C4" i="50"/>
  <c r="C3" i="50"/>
  <c r="A20" i="49"/>
  <c r="A19" i="49"/>
  <c r="A18" i="49"/>
  <c r="A17" i="49"/>
  <c r="A16" i="49"/>
  <c r="A15" i="49"/>
  <c r="A14" i="49"/>
  <c r="A13" i="49"/>
  <c r="A12" i="49"/>
  <c r="A11" i="49"/>
  <c r="A10" i="49"/>
  <c r="C4" i="49"/>
  <c r="C3" i="49"/>
  <c r="A24" i="48"/>
  <c r="A23" i="48"/>
  <c r="A22" i="48"/>
  <c r="A21" i="48"/>
  <c r="A20" i="48"/>
  <c r="A19" i="48"/>
  <c r="A18" i="48"/>
  <c r="A17" i="48"/>
  <c r="A16" i="48"/>
  <c r="A15" i="48"/>
  <c r="A14" i="48"/>
  <c r="A13" i="48"/>
  <c r="A12" i="48"/>
  <c r="A11" i="48"/>
  <c r="A10" i="48"/>
  <c r="C4" i="48"/>
  <c r="C3" i="48"/>
  <c r="A24" i="47"/>
  <c r="A23" i="47"/>
  <c r="A22" i="47"/>
  <c r="A21" i="47"/>
  <c r="A20" i="47"/>
  <c r="A19" i="47"/>
  <c r="A18" i="47"/>
  <c r="A17" i="47"/>
  <c r="A16" i="47"/>
  <c r="A15" i="47"/>
  <c r="A14" i="47"/>
  <c r="A13" i="47"/>
  <c r="A12" i="47"/>
  <c r="A11" i="47"/>
  <c r="A10" i="47"/>
  <c r="C4" i="47"/>
  <c r="C3" i="47"/>
  <c r="A27" i="45"/>
  <c r="A26" i="45"/>
  <c r="A25" i="45"/>
  <c r="A24" i="45"/>
  <c r="A23" i="45"/>
  <c r="A22" i="45"/>
  <c r="A21" i="45"/>
  <c r="A20" i="45"/>
  <c r="A19" i="45"/>
  <c r="A18" i="45"/>
  <c r="A17" i="45"/>
  <c r="A16" i="45"/>
  <c r="A15" i="45"/>
  <c r="A14" i="45"/>
  <c r="A13" i="45"/>
  <c r="A12" i="45"/>
  <c r="A11" i="45"/>
  <c r="A10" i="45"/>
  <c r="C4" i="45"/>
  <c r="C3" i="45"/>
  <c r="A19" i="46"/>
  <c r="A18" i="46"/>
  <c r="A17" i="46"/>
  <c r="A16" i="46"/>
  <c r="A15" i="46"/>
  <c r="A14" i="46"/>
  <c r="A13" i="46"/>
  <c r="A12" i="46"/>
  <c r="A11" i="46"/>
  <c r="A10" i="46"/>
  <c r="C4" i="46"/>
  <c r="C3" i="46"/>
  <c r="A19" i="44"/>
  <c r="A18" i="44"/>
  <c r="A17" i="44"/>
  <c r="A16" i="44"/>
  <c r="A15" i="44"/>
  <c r="A14" i="44"/>
  <c r="A13" i="44"/>
  <c r="A12" i="44"/>
  <c r="A11" i="44"/>
  <c r="A10" i="44"/>
  <c r="C4" i="44"/>
  <c r="C3" i="44"/>
  <c r="A19" i="43"/>
  <c r="A18" i="43"/>
  <c r="A17" i="43"/>
  <c r="A16" i="43"/>
  <c r="A15" i="43"/>
  <c r="A14" i="43"/>
  <c r="A13" i="43"/>
  <c r="A12" i="43"/>
  <c r="A11" i="43"/>
  <c r="A10" i="43"/>
  <c r="C4" i="43"/>
  <c r="C3" i="43"/>
  <c r="A20" i="42"/>
  <c r="A19" i="42"/>
  <c r="A18" i="42"/>
  <c r="A17" i="42"/>
  <c r="A16" i="42"/>
  <c r="A15" i="42"/>
  <c r="A14" i="42"/>
  <c r="A13" i="42"/>
  <c r="A12" i="42"/>
  <c r="A11" i="42"/>
  <c r="A10" i="42"/>
  <c r="C4" i="42"/>
  <c r="C3" i="42"/>
  <c r="A18" i="41"/>
  <c r="A17" i="41"/>
  <c r="A16" i="41"/>
  <c r="A15" i="41"/>
  <c r="A14" i="41"/>
  <c r="A13" i="41"/>
  <c r="A12" i="41"/>
  <c r="A11" i="41"/>
  <c r="A10" i="41"/>
  <c r="C4" i="41"/>
  <c r="C3" i="41"/>
  <c r="A17" i="40"/>
  <c r="A16" i="40"/>
  <c r="A15" i="40"/>
  <c r="A14" i="40"/>
  <c r="A13" i="40"/>
  <c r="A12" i="40"/>
  <c r="A11" i="40"/>
  <c r="A10" i="40"/>
  <c r="C4" i="40"/>
  <c r="C3" i="40"/>
  <c r="A28" i="39"/>
  <c r="A27" i="39"/>
  <c r="A26" i="39"/>
  <c r="A25" i="39"/>
  <c r="A24" i="39"/>
  <c r="A23" i="39"/>
  <c r="A22" i="39"/>
  <c r="A21" i="39"/>
  <c r="A20" i="39"/>
  <c r="A19" i="39"/>
  <c r="A18" i="39"/>
  <c r="A17" i="39"/>
  <c r="A16" i="39"/>
  <c r="A15" i="39"/>
  <c r="A14" i="39"/>
  <c r="A13" i="39"/>
  <c r="A12" i="39"/>
  <c r="A11" i="39"/>
  <c r="A10" i="39"/>
  <c r="C4" i="39"/>
  <c r="C3" i="39"/>
  <c r="A15" i="38"/>
  <c r="A14" i="38"/>
  <c r="A13" i="38"/>
  <c r="A12" i="38"/>
  <c r="A11" i="38"/>
  <c r="A10" i="38"/>
  <c r="C4" i="38"/>
  <c r="C3" i="38"/>
  <c r="A17" i="37"/>
  <c r="A16" i="37"/>
  <c r="A15" i="37"/>
  <c r="A14" i="37"/>
  <c r="A13" i="37"/>
  <c r="A12" i="37"/>
  <c r="A11" i="37"/>
  <c r="A10" i="37"/>
  <c r="C4" i="37"/>
  <c r="C3" i="37"/>
  <c r="A18" i="36"/>
  <c r="A17" i="36"/>
  <c r="A16" i="36"/>
  <c r="A15" i="36"/>
  <c r="A14" i="36"/>
  <c r="A13" i="36"/>
  <c r="A12" i="36"/>
  <c r="A11" i="36"/>
  <c r="A10" i="36"/>
  <c r="C4" i="36"/>
  <c r="C3" i="36"/>
  <c r="A21" i="35"/>
  <c r="A20" i="35"/>
  <c r="A19" i="35"/>
  <c r="A18" i="35"/>
  <c r="A17" i="35"/>
  <c r="A16" i="35"/>
  <c r="A15" i="35"/>
  <c r="A14" i="35"/>
  <c r="A13" i="35"/>
  <c r="A12" i="35"/>
  <c r="A11" i="35"/>
  <c r="A10" i="35"/>
  <c r="C4" i="35"/>
  <c r="C3" i="35"/>
  <c r="A22" i="34"/>
  <c r="A21" i="34"/>
  <c r="A20" i="34"/>
  <c r="A19" i="34"/>
  <c r="A18" i="34"/>
  <c r="A17" i="34"/>
  <c r="A16" i="34"/>
  <c r="A15" i="34"/>
  <c r="A14" i="34"/>
  <c r="A13" i="34"/>
  <c r="A12" i="34"/>
  <c r="A11" i="34"/>
  <c r="A10" i="34"/>
  <c r="C4" i="34"/>
  <c r="C3" i="34"/>
  <c r="A17" i="33"/>
  <c r="A16" i="33"/>
  <c r="A15" i="33"/>
  <c r="A14" i="33"/>
  <c r="A13" i="33"/>
  <c r="A12" i="33"/>
  <c r="A11" i="33"/>
  <c r="A10" i="33"/>
  <c r="C4" i="33"/>
  <c r="C3" i="33"/>
  <c r="A24" i="32"/>
  <c r="A23" i="32"/>
  <c r="A22" i="32"/>
  <c r="A21" i="32"/>
  <c r="A20" i="32"/>
  <c r="A19" i="32"/>
  <c r="A18" i="32"/>
  <c r="A17" i="32"/>
  <c r="A16" i="32"/>
  <c r="A15" i="32"/>
  <c r="A14" i="32"/>
  <c r="A13" i="32"/>
  <c r="A12" i="32"/>
  <c r="A11" i="32"/>
  <c r="A10" i="32"/>
  <c r="C4" i="32"/>
  <c r="C3" i="32"/>
  <c r="A13" i="31"/>
  <c r="A12" i="31"/>
  <c r="A11" i="31"/>
  <c r="A10" i="31"/>
  <c r="C4" i="31"/>
  <c r="C3" i="31"/>
  <c r="A36" i="30"/>
  <c r="A35" i="30"/>
  <c r="A34" i="30"/>
  <c r="A33" i="30"/>
  <c r="A32" i="30"/>
  <c r="A31" i="30"/>
  <c r="A30" i="30"/>
  <c r="A29" i="30"/>
  <c r="A28" i="30"/>
  <c r="A27" i="30"/>
  <c r="A26" i="30"/>
  <c r="A25" i="30"/>
  <c r="A24" i="30"/>
  <c r="A23" i="30"/>
  <c r="A22" i="30"/>
  <c r="A21" i="30"/>
  <c r="A20" i="30"/>
  <c r="A19" i="30"/>
  <c r="A18" i="30"/>
  <c r="A17" i="30"/>
  <c r="A16" i="30"/>
  <c r="A15" i="30"/>
  <c r="A14" i="30"/>
  <c r="A13" i="30"/>
  <c r="A12" i="30"/>
  <c r="A11" i="30"/>
  <c r="A10" i="30"/>
  <c r="C4" i="30"/>
  <c r="C3" i="30"/>
  <c r="A19" i="29"/>
  <c r="A18" i="29"/>
  <c r="A17" i="29"/>
  <c r="A16" i="29"/>
  <c r="A15" i="29"/>
  <c r="A14" i="29"/>
  <c r="A13" i="29"/>
  <c r="A12" i="29"/>
  <c r="A11" i="29"/>
  <c r="A10" i="29"/>
  <c r="C4" i="29"/>
  <c r="C3" i="29"/>
  <c r="A17" i="28"/>
  <c r="A16" i="28"/>
  <c r="A15" i="28"/>
  <c r="A14" i="28"/>
  <c r="A13" i="28"/>
  <c r="A12" i="28"/>
  <c r="A11" i="28"/>
  <c r="A10" i="28"/>
  <c r="C4" i="28"/>
  <c r="C3" i="28"/>
  <c r="A20" i="27"/>
  <c r="A19" i="27"/>
  <c r="A18" i="27"/>
  <c r="A17" i="27"/>
  <c r="A16" i="27"/>
  <c r="A15" i="27"/>
  <c r="A14" i="27"/>
  <c r="A13" i="27"/>
  <c r="A12" i="27"/>
  <c r="A11" i="27"/>
  <c r="A10" i="27"/>
  <c r="C4" i="27"/>
  <c r="C3" i="27"/>
  <c r="A16" i="26"/>
  <c r="A15" i="26"/>
  <c r="A14" i="26"/>
  <c r="A13" i="26"/>
  <c r="A12" i="26"/>
  <c r="A11" i="26"/>
  <c r="A10" i="26"/>
  <c r="C4" i="26"/>
  <c r="C3" i="26"/>
  <c r="A20" i="25"/>
  <c r="A19" i="25"/>
  <c r="A18" i="25"/>
  <c r="A17" i="25"/>
  <c r="A16" i="25"/>
  <c r="A15" i="25"/>
  <c r="A14" i="25"/>
  <c r="A13" i="25"/>
  <c r="A12" i="25"/>
  <c r="A11" i="25"/>
  <c r="A10" i="25"/>
  <c r="C4" i="25"/>
  <c r="C3" i="25"/>
  <c r="A22" i="24"/>
  <c r="A21" i="24"/>
  <c r="A20" i="24"/>
  <c r="A19" i="24"/>
  <c r="A18" i="24"/>
  <c r="A17" i="24"/>
  <c r="A16" i="24"/>
  <c r="A15" i="24"/>
  <c r="A14" i="24"/>
  <c r="A13" i="24"/>
  <c r="A12" i="24"/>
  <c r="A11" i="24"/>
  <c r="A10" i="24"/>
  <c r="C4" i="24"/>
  <c r="C3" i="24"/>
  <c r="A32" i="23"/>
  <c r="A31" i="23"/>
  <c r="A30" i="23"/>
  <c r="A29" i="23"/>
  <c r="A28" i="23"/>
  <c r="A27" i="23"/>
  <c r="A26" i="23"/>
  <c r="A25" i="23"/>
  <c r="A24" i="23"/>
  <c r="A23" i="23"/>
  <c r="A22" i="23"/>
  <c r="A21" i="23"/>
  <c r="A20" i="23"/>
  <c r="A19" i="23"/>
  <c r="A18" i="23"/>
  <c r="A17" i="23"/>
  <c r="A16" i="23"/>
  <c r="A15" i="23"/>
  <c r="A14" i="23"/>
  <c r="A13" i="23"/>
  <c r="A12" i="23"/>
  <c r="A11" i="23"/>
  <c r="A10" i="23"/>
  <c r="C4" i="23"/>
  <c r="C3" i="23"/>
  <c r="A17" i="22"/>
  <c r="A16" i="22"/>
  <c r="A15" i="22"/>
  <c r="A14" i="22"/>
  <c r="A13" i="22"/>
  <c r="A12" i="22"/>
  <c r="A11" i="22"/>
  <c r="A10" i="22"/>
  <c r="C4" i="22"/>
  <c r="C3" i="22"/>
  <c r="A22" i="21"/>
  <c r="A21" i="21"/>
  <c r="A20" i="21"/>
  <c r="A19" i="21"/>
  <c r="A18" i="21"/>
  <c r="A17" i="21"/>
  <c r="A16" i="21"/>
  <c r="A15" i="21"/>
  <c r="A14" i="21"/>
  <c r="A13" i="21"/>
  <c r="A12" i="21"/>
  <c r="A11" i="21"/>
  <c r="A10" i="21"/>
  <c r="C4" i="21"/>
  <c r="C3" i="21"/>
  <c r="A27" i="20"/>
  <c r="A26" i="20"/>
  <c r="A25" i="20"/>
  <c r="A24" i="20"/>
  <c r="A23" i="20"/>
  <c r="A22" i="20"/>
  <c r="A21" i="20"/>
  <c r="A20" i="20"/>
  <c r="A19" i="20"/>
  <c r="A18" i="20"/>
  <c r="A17" i="20"/>
  <c r="A16" i="20"/>
  <c r="A15" i="20"/>
  <c r="A14" i="20"/>
  <c r="A13" i="20"/>
  <c r="A12" i="20"/>
  <c r="A11" i="20"/>
  <c r="A10" i="20"/>
  <c r="C4" i="20"/>
  <c r="C3" i="20"/>
  <c r="A23" i="19"/>
  <c r="A22" i="19"/>
  <c r="A21" i="19"/>
  <c r="A20" i="19"/>
  <c r="A19" i="19"/>
  <c r="A18" i="19"/>
  <c r="A17" i="19"/>
  <c r="A16" i="19"/>
  <c r="A15" i="19"/>
  <c r="A14" i="19"/>
  <c r="A13" i="19"/>
  <c r="A12" i="19"/>
  <c r="A11" i="19"/>
  <c r="A10" i="19"/>
  <c r="C4" i="19"/>
  <c r="C3" i="19"/>
  <c r="A42" i="18"/>
  <c r="A41" i="18"/>
  <c r="A40" i="18"/>
  <c r="A39" i="18"/>
  <c r="A38" i="18"/>
  <c r="A37" i="18"/>
  <c r="A36" i="18"/>
  <c r="A35" i="18"/>
  <c r="A34" i="18"/>
  <c r="A33" i="18"/>
  <c r="A32" i="18"/>
  <c r="A31" i="18"/>
  <c r="A30" i="18"/>
  <c r="A29" i="18"/>
  <c r="A28" i="18"/>
  <c r="A27" i="18"/>
  <c r="A26" i="18"/>
  <c r="A25" i="18"/>
  <c r="A24" i="18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C4" i="18"/>
  <c r="C3" i="18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C4" i="17"/>
  <c r="C3" i="17"/>
  <c r="A17" i="16"/>
  <c r="A16" i="16"/>
  <c r="A15" i="16"/>
  <c r="A14" i="16"/>
  <c r="A13" i="16"/>
  <c r="A12" i="16"/>
  <c r="A11" i="16"/>
  <c r="A10" i="16"/>
  <c r="C4" i="16"/>
  <c r="C3" i="16"/>
  <c r="A33" i="15"/>
  <c r="A32" i="15"/>
  <c r="A31" i="15"/>
  <c r="A30" i="15"/>
  <c r="A29" i="15"/>
  <c r="A28" i="15"/>
  <c r="A27" i="15"/>
  <c r="A26" i="15"/>
  <c r="A25" i="15"/>
  <c r="A24" i="15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C4" i="15"/>
  <c r="C3" i="15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C4" i="14"/>
  <c r="C3" i="14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C4" i="13"/>
  <c r="C3" i="13"/>
  <c r="A28" i="12"/>
  <c r="A27" i="12"/>
  <c r="A26" i="12"/>
  <c r="A25" i="12"/>
  <c r="A24" i="12"/>
  <c r="A23" i="12"/>
  <c r="A22" i="12"/>
  <c r="A21" i="12"/>
  <c r="A20" i="12"/>
  <c r="A19" i="12"/>
  <c r="A18" i="12"/>
  <c r="A17" i="12"/>
  <c r="A16" i="12"/>
  <c r="A15" i="12"/>
  <c r="A14" i="12"/>
  <c r="A13" i="12"/>
  <c r="A12" i="12"/>
  <c r="A11" i="12"/>
  <c r="A10" i="12"/>
  <c r="C4" i="12"/>
  <c r="C3" i="12"/>
  <c r="A36" i="11"/>
  <c r="A35" i="11"/>
  <c r="A34" i="11"/>
  <c r="A33" i="11"/>
  <c r="A32" i="11"/>
  <c r="A31" i="11"/>
  <c r="A30" i="11"/>
  <c r="A29" i="11"/>
  <c r="A28" i="11"/>
  <c r="A27" i="11"/>
  <c r="A26" i="11"/>
  <c r="A25" i="11"/>
  <c r="A24" i="11"/>
  <c r="A23" i="11"/>
  <c r="A22" i="11"/>
  <c r="A21" i="11"/>
  <c r="A20" i="11"/>
  <c r="A19" i="11"/>
  <c r="A18" i="11"/>
  <c r="A17" i="11"/>
  <c r="A16" i="11"/>
  <c r="A15" i="11"/>
  <c r="A14" i="11"/>
  <c r="A13" i="11"/>
  <c r="A12" i="11"/>
  <c r="A11" i="11"/>
  <c r="A10" i="11"/>
  <c r="C4" i="11"/>
  <c r="C3" i="11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C4" i="10"/>
  <c r="C3" i="10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C4" i="9"/>
  <c r="C3" i="9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C4" i="8"/>
  <c r="C3" i="8"/>
  <c r="A15" i="7"/>
  <c r="A14" i="7"/>
  <c r="A13" i="7"/>
  <c r="A12" i="7"/>
  <c r="A11" i="7"/>
  <c r="A10" i="7"/>
  <c r="C4" i="7"/>
  <c r="C3" i="7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C4" i="6"/>
  <c r="C3" i="6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C4" i="5"/>
  <c r="C3" i="5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C4" i="4"/>
  <c r="C3" i="4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C4" i="3"/>
  <c r="C3" i="3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C4" i="2"/>
  <c r="C3" i="2"/>
</calcChain>
</file>

<file path=xl/sharedStrings.xml><?xml version="1.0" encoding="utf-8"?>
<sst xmlns="http://schemas.openxmlformats.org/spreadsheetml/2006/main" count="4777" uniqueCount="1668">
  <si>
    <t>DETALLE DE VENTAS DEL 20/06/2025 AL 20/07/2025</t>
  </si>
  <si>
    <t>Etiquetas de fila</t>
  </si>
  <si>
    <t>SKU</t>
  </si>
  <si>
    <t>PRECIO DE COMPRA</t>
  </si>
  <si>
    <t>PRECIO DE VENTA</t>
  </si>
  <si>
    <t>BAOR K DUO SHAMPOO 500 ML + ACOND. 300 ML</t>
  </si>
  <si>
    <t>3616301711346</t>
  </si>
  <si>
    <t>BAOR K TRIO SHAMPOO 500 ML + ACOND. 300 ML + MASCARILLA 300 ML</t>
  </si>
  <si>
    <t>4064665093254</t>
  </si>
  <si>
    <t>REDKEN SHADES EQ GLOSS SOLUCION DE PROCESAMIENTO 1LT</t>
  </si>
  <si>
    <t>8022297133416</t>
  </si>
  <si>
    <t>WELLA LUXE OIL 100 ML</t>
  </si>
  <si>
    <t>P0000000000256</t>
  </si>
  <si>
    <t>ALFAPARF PRECIOUS NATURE 60 GR - NATURALES 7 RUBIO MEDIO</t>
  </si>
  <si>
    <t>3474630382220</t>
  </si>
  <si>
    <t>BAOR K SHAMPOO 500 ML</t>
  </si>
  <si>
    <t>4064665019698</t>
  </si>
  <si>
    <t>WELLA ULTIMATE REPAIR LEAVE-IN SPRAY 140 ML</t>
  </si>
  <si>
    <t>P0000000000373</t>
  </si>
  <si>
    <t>ALFAPARF PRECIOUS NATURE ACTIVADOR 20 VOL. 850 ML</t>
  </si>
  <si>
    <t>3474636614028</t>
  </si>
  <si>
    <t>WELLA FUSION DUO SHAMPOO 1L + CONDITIONER 1L</t>
  </si>
  <si>
    <t>9493814</t>
  </si>
  <si>
    <t>WELLA FUSION MASK 150 ML</t>
  </si>
  <si>
    <t>P0000000000046</t>
  </si>
  <si>
    <t>ALFAPARF SCALP PURIFYING LOW SHAMPOO 250 ML</t>
  </si>
  <si>
    <t>3474636980291</t>
  </si>
  <si>
    <t>WELLA FUSION DUO SHAMPOO 250 ML + CONDITIONER 200 ML</t>
  </si>
  <si>
    <t>P0000000000005</t>
  </si>
  <si>
    <t>WELLA ULTIMATE REPAIR MIRACLE SPRAY 95ML</t>
  </si>
  <si>
    <t>P0000000000374</t>
  </si>
  <si>
    <t>ALFAPARF SUBLIME CRISTALLI LIQUIDI THE ORIGINAL 30 ML</t>
  </si>
  <si>
    <t>3474637154943</t>
  </si>
  <si>
    <t>ALFAPARF DIAMOND CONDITIONER 200 ML</t>
  </si>
  <si>
    <t>1658439048188</t>
  </si>
  <si>
    <t>ALFAPARF Dúo Balancing Shampoo 250 ml + Diamond Conditioner 200 ml</t>
  </si>
  <si>
    <t>1658439048397</t>
  </si>
  <si>
    <t>ALFAPARF NUTRITIVE DUO SHAMPOO 1L + LEAVE IN COND. 1L</t>
  </si>
  <si>
    <t>1658439048628</t>
  </si>
  <si>
    <t>REDKEN PRO-OXID 20 VOL 1L</t>
  </si>
  <si>
    <t>8022297064970</t>
  </si>
  <si>
    <t xml:space="preserve">WELLA FUSION - TRIO SHAMPO 1L + CONDITIONER 1L + MASK 500 ML </t>
  </si>
  <si>
    <t>884486456120</t>
  </si>
  <si>
    <t>ALFAPARF PRECIOUS NATURE 60 GR - CASTAÑOS FRIOS 7.1 RUBIO MEDIO CENIZA</t>
  </si>
  <si>
    <t>1680548418266</t>
  </si>
  <si>
    <t>REDKEN SHADES EQ BONDER INSIDE GLOSS 06NB 60ML</t>
  </si>
  <si>
    <t>8022297092287</t>
  </si>
  <si>
    <t>REDKEN SHADES EQ GLOSS 06N MOROCCAN SAND 60ML</t>
  </si>
  <si>
    <t>8022297111254</t>
  </si>
  <si>
    <t xml:space="preserve">TIGI BED HEAD RECOVERY DUO SHAMPOO 750 ML + COND. 750 ML </t>
  </si>
  <si>
    <t>850020289882</t>
  </si>
  <si>
    <t>TIGI BED HEAD SMALL TALK 240 ML X 2 UNID</t>
  </si>
  <si>
    <t>884486003560</t>
  </si>
  <si>
    <t>WELLA FUSION SHAMPOO 250 ML</t>
  </si>
  <si>
    <t>P0000000000073</t>
  </si>
  <si>
    <t>ALFAPARF PRECIOUS NATURE 60 GR - ROJOS 7.4 RUBIO MEDIO COBRE</t>
  </si>
  <si>
    <t>3474636612666</t>
  </si>
  <si>
    <t>ALFAPARF SUBLIME CELLULA MADRE  DUO AMPOLLA + RESTRUCTURING MULTIPLIER 150ML</t>
  </si>
  <si>
    <t>3474637107642</t>
  </si>
  <si>
    <t>BAOR B TRIO SHAMPOO 500 ML + ACOND. 300 ML + MASCARILLA 300 ML</t>
  </si>
  <si>
    <t>3474637222505</t>
  </si>
  <si>
    <t>DAVINES TINTE 6.14</t>
  </si>
  <si>
    <t>4064665114775</t>
  </si>
  <si>
    <t>KERASTASE NUTRITIVE 8H MAGIC NIGTH SERUM 90 ML</t>
  </si>
  <si>
    <t>615908432008</t>
  </si>
  <si>
    <t>KERASTASE SPECIFIQUE DIVALENT SHAMPOO 250 ML</t>
  </si>
  <si>
    <t>66613297491077</t>
  </si>
  <si>
    <t>MOROCCANOIL HYDRATION ALL IN ONE LEAVE-IN CONDITIONER 160 ML</t>
  </si>
  <si>
    <t>71017186282320</t>
  </si>
  <si>
    <t>OPI DUO REPAIR MODE 9ML + OPI NAIL ENVY STRENGTHENER FORTIFIANT 15ML</t>
  </si>
  <si>
    <t>73358228890894</t>
  </si>
  <si>
    <t xml:space="preserve">SEBASTIAN TRILLIANT 150 ML - PROTECTOR TERMICO </t>
  </si>
  <si>
    <t>840216933811</t>
  </si>
  <si>
    <t>TIGI BED HEAD RESURRECTION DUO SHAMPOO+ACONDICIONADOR 750 ML</t>
  </si>
  <si>
    <t>852968008310</t>
  </si>
  <si>
    <t>WELLA FUSION CONDITIONER  200 ML</t>
  </si>
  <si>
    <t>884486493866</t>
  </si>
  <si>
    <t>WELLA FUSION MASK 500 ML</t>
  </si>
  <si>
    <t>P0000000000049</t>
  </si>
  <si>
    <t>WELLA FUSION SHAMPOO 1LT</t>
  </si>
  <si>
    <t>P0000000000062</t>
  </si>
  <si>
    <t>WELLA ULTIMATE REPAIR CONDITIONER 200ML</t>
  </si>
  <si>
    <t>P0000000000354</t>
  </si>
  <si>
    <t>ALFAPARF DIAMOND LEAVE IN FLUIDO 125 ML</t>
  </si>
  <si>
    <t>1658439048229</t>
  </si>
  <si>
    <t>ALFAPARF PRECIOUS NATURE 60 GR - CASTAÑOS CALIDOS 7.35 RUBIO MEDIO DORADO CAOBA</t>
  </si>
  <si>
    <t>1677177255952</t>
  </si>
  <si>
    <t>ALFAPARF PRECIOUS NATURE 60 GR - NATURALES 4 CASTAÑO MEDIO</t>
  </si>
  <si>
    <t>1690409227235</t>
  </si>
  <si>
    <t>ALFAPARF PRECIOUS NATURE 60 GR - NATURALES 6 RUBIO OSCURO</t>
  </si>
  <si>
    <t>1691248416812</t>
  </si>
  <si>
    <t>ALFAPARF PRECIOUS NATURE 60 GR - NATURALES 6NI RUBIO OSCURO INTENSO</t>
  </si>
  <si>
    <t>1753126981191</t>
  </si>
  <si>
    <t>ALFAPARF SCALP BALANCING LOW SHAMPOO  1 L</t>
  </si>
  <si>
    <t>3474636920174</t>
  </si>
  <si>
    <t>ALFAPARF SCALP ENERGIZING TONIC 125 ML</t>
  </si>
  <si>
    <t>3474636968725</t>
  </si>
  <si>
    <t>BAOR G TRIO SHAMPOO 500 ML + ACOND. 300 ML + MASCARILLA 300 ML</t>
  </si>
  <si>
    <t>3474637230210</t>
  </si>
  <si>
    <t>BAOR K – Dúo Keratine Care Shampoo 500 ml + Mask 300 ml</t>
  </si>
  <si>
    <t>3614227348882</t>
  </si>
  <si>
    <t>KERASTASE ELIXIR  REFILL  L’HUILE ORIGINAL 75 ML</t>
  </si>
  <si>
    <t>4064666326658</t>
  </si>
  <si>
    <t>KERASTASE GENESIS BAIN HYDRA FORTIFIANT 500 ML</t>
  </si>
  <si>
    <t>4064666580050</t>
  </si>
  <si>
    <t>MOROCCANOIL CURL INTENSE CURL CREAM 300 ML</t>
  </si>
  <si>
    <t>70687995489762</t>
  </si>
  <si>
    <t>MOROCCANOIL HYDRATION INTENSE HYDRATION MASK 250 ML</t>
  </si>
  <si>
    <t>71157922075639</t>
  </si>
  <si>
    <t>REVLON ONE ALL IN ONE TREATMENT 150 ML</t>
  </si>
  <si>
    <t>8022297175331</t>
  </si>
  <si>
    <t>TIGI BED HEAD MATTE SEPARATION WORKABLE WAX 85G 3 OZ</t>
  </si>
  <si>
    <t>850018802291</t>
  </si>
  <si>
    <t>TIGI BED HEAD RECOVERY – DUO SHAMPOO + CONDITIONER 400 ML</t>
  </si>
  <si>
    <t>850018802833</t>
  </si>
  <si>
    <t>ALFAPARF DIAMOND DUO SHAMPOO 250 ML + CONDITIONER 200 ML</t>
  </si>
  <si>
    <t>1658439048205</t>
  </si>
  <si>
    <t>ALFAPARF DIAMOND SACHET SHAMPOO + MASK</t>
  </si>
  <si>
    <t>1658439048319</t>
  </si>
  <si>
    <t>ALFAPARF Dúo Balancing Shampoo 1L + Diamond Contidioner 1L</t>
  </si>
  <si>
    <t>1658439048381</t>
  </si>
  <si>
    <t>ALFAPARF PRECIOUS NATURE 60 GR - NATURALES 3 CASTAÑO OSCURO</t>
  </si>
  <si>
    <t>1687278577483</t>
  </si>
  <si>
    <t>ALFAPARF SCALP ENERGIZING SHAMPOO 250 ML</t>
  </si>
  <si>
    <t>3474636961030</t>
  </si>
  <si>
    <t>ALFAPARF STYLE STORIES FIRMING MOUSSE 250 ML</t>
  </si>
  <si>
    <t>3474637107383</t>
  </si>
  <si>
    <t>BAOR G DUO SHAMPOO 500 ML  + ACONDICIONADOR 300 ML</t>
  </si>
  <si>
    <t>3474637227807</t>
  </si>
  <si>
    <t>BAOR K MASCARILLA  300ML</t>
  </si>
  <si>
    <t>4</t>
  </si>
  <si>
    <t>DAVINES TINTE 7.73</t>
  </si>
  <si>
    <t>4064665114799</t>
  </si>
  <si>
    <t>KERASTASE NUTRITIVE LAIT VITAL 200 ML</t>
  </si>
  <si>
    <t>615908433180</t>
  </si>
  <si>
    <t xml:space="preserve">KERASTASE SPECIFIQUE DIVALENT SHAMPOO 500 ML </t>
  </si>
  <si>
    <t>66639578515346</t>
  </si>
  <si>
    <t>KERASTASE SPECIFIQUE PREVENTION SHAMPOO 250 ML</t>
  </si>
  <si>
    <t>66663364468006</t>
  </si>
  <si>
    <t>LIVING PROOF TRIPLE BOND COMPLEX 15 ML</t>
  </si>
  <si>
    <t>69999823756631</t>
  </si>
  <si>
    <t>MOROCCANOIL CURL DEFINING CREAM - MOLDEADORA RIZOS 250 ML</t>
  </si>
  <si>
    <t>70671267061192</t>
  </si>
  <si>
    <t>MOROCCANOIL TRATAMIENTO LIGHT 25 ML</t>
  </si>
  <si>
    <t>72859728864900</t>
  </si>
  <si>
    <t>REDKEN ACIDIC BONDING CONCENTRATE SHAMPOO 300 ML</t>
  </si>
  <si>
    <t>8005610579719</t>
  </si>
  <si>
    <t>REDKEN AMINO MINT SHAMPOO 300 ML</t>
  </si>
  <si>
    <t>8022297056913</t>
  </si>
  <si>
    <t xml:space="preserve">REDKEN EXTREME PACK TRAVEL SHAMPOO 75ML + CONDIT 50 ML </t>
  </si>
  <si>
    <t>8022297057132</t>
  </si>
  <si>
    <t>REDKEN ONE UNITED ELIXIR 150 ML</t>
  </si>
  <si>
    <t>8022297064963</t>
  </si>
  <si>
    <t>REDKEN SHADES EQ BONDER INSIDE GLOSS 04NB MAPLE 60 ML</t>
  </si>
  <si>
    <t>8022297092263</t>
  </si>
  <si>
    <t>REDKEN SHADES EQ BONDER INSIDE GLOSS 05G 60ML</t>
  </si>
  <si>
    <t>8022297092270</t>
  </si>
  <si>
    <t>REDKEN SHADES EQ BONDER INSIDE GLOSS 07NB 60ML</t>
  </si>
  <si>
    <t>8022297095837</t>
  </si>
  <si>
    <t>REDKEN SHADES EQ BONDER INSIDE GLOSS 09N  60 ML</t>
  </si>
  <si>
    <t>8022297095868</t>
  </si>
  <si>
    <t>REDKEN SHADES EQ GLOSS 05N WALNUT 60 ML</t>
  </si>
  <si>
    <t>8022297111230</t>
  </si>
  <si>
    <t>REVLON EQUAVE KIDS ACONDICIONADOR PRINCESS 200 ML</t>
  </si>
  <si>
    <t>8022297154763</t>
  </si>
  <si>
    <t>REVLON EQUAVE KIDS ACONDICIONADOR VERDE 200 ML</t>
  </si>
  <si>
    <t>8022297157030</t>
  </si>
  <si>
    <t>REVLON EQUAVE KIDS SHAMPOO PRINCESS 300 ML</t>
  </si>
  <si>
    <t>8022297157559</t>
  </si>
  <si>
    <t>REVLON EQUAVE KIDS SHAMPOO VERDE 300 ML</t>
  </si>
  <si>
    <t>8022297169187</t>
  </si>
  <si>
    <t>SEBASTIAN HYDRE  DUO SHAMPOO 250ML +  CONDITIONER 250ML</t>
  </si>
  <si>
    <t>815305026002</t>
  </si>
  <si>
    <t xml:space="preserve">SEBASTIAN PENETRAITT OVERNIGHT REPAIRING SERUM 95 ML </t>
  </si>
  <si>
    <t>840216930612</t>
  </si>
  <si>
    <t>TIGI BED HEAD RESURRECTION – DUO SHAMPOO + CONDITIONER 400 ML</t>
  </si>
  <si>
    <t>852578006010</t>
  </si>
  <si>
    <t>WELLA FUSION TRIO  SHAMPOO 250 ML + CONDITIONER 200 ML  + MASK 150 ML</t>
  </si>
  <si>
    <t>P0000000000075</t>
  </si>
  <si>
    <t>WELLA NUTRICURLS CLEANSING CONDITIONER 250 ML</t>
  </si>
  <si>
    <t>P0000000000271</t>
  </si>
  <si>
    <t>WELLA ULTIMATE REPAIR SHAMPOO 250ML</t>
  </si>
  <si>
    <t>P0000000000485</t>
  </si>
  <si>
    <t>ALFAPARF BLONDE ANTI YELLOW DUO SHAMPOO 250 ML + CONDITIONER 200 ML</t>
  </si>
  <si>
    <t>1637083769986</t>
  </si>
  <si>
    <t>ALFAPARF CURLS TRIO SHAMPOO 250ML + CONDITIONER 200ML + DEFINING CREAM 125ML</t>
  </si>
  <si>
    <t>1658439048167</t>
  </si>
  <si>
    <t>ALFAPARF DIAMOND CONDITIONER 1L</t>
  </si>
  <si>
    <t>1658439048176</t>
  </si>
  <si>
    <t>ALFAPARF Dúo Energizing Shampoo 1L + Diamond Conditioner 1L</t>
  </si>
  <si>
    <t>1658439048462</t>
  </si>
  <si>
    <t>ALFAPARF NUTRITIVE DUO SHAMPOO 1L + MASCARILLA 500 ML</t>
  </si>
  <si>
    <t>1658439048673</t>
  </si>
  <si>
    <t>ALFAPARF NUTRITIVE DÚO SHAMPOO 250 ML + LEAVE IN CONDITIONER 200 ML</t>
  </si>
  <si>
    <t>1658439048690</t>
  </si>
  <si>
    <t>ALFAPARF PRECIOUS NATURE 60 GR - NATURALES FRIOS 6NF RUBIO OSCURO FRIO</t>
  </si>
  <si>
    <t>3474636397945</t>
  </si>
  <si>
    <t>ALFAPARF PRECIOUS NATURE 60 GR - NATURALES FRIOS 7NF RUBIO MEDIO FRIO</t>
  </si>
  <si>
    <t>3474636397952</t>
  </si>
  <si>
    <t>ALFAPARF PRECIOUS NATURE 60 GR - NATURALES FRIOS 8NF RUBIO CLARO FRIO</t>
  </si>
  <si>
    <t>3474636397969</t>
  </si>
  <si>
    <t>ALFAPARF REPARATIVE AMPOLLAS SOS EMERGENCY OIL CAJA  -  6 UNID. X 13 ML</t>
  </si>
  <si>
    <t>3474636692361</t>
  </si>
  <si>
    <t>ALFAPARF REPARATIVE ANTI-BREAKAGE DAILY FLUID 125ML</t>
  </si>
  <si>
    <t>3474636728268</t>
  </si>
  <si>
    <t>ALFAPARF SCALP ENERGIZING SHAMPOO 1L</t>
  </si>
  <si>
    <t>3474636954766</t>
  </si>
  <si>
    <t>ALFAPARF SMOOTHING  OIL 100 ML</t>
  </si>
  <si>
    <t>3474637059019</t>
  </si>
  <si>
    <t>AMERICAN CREW ANTIDANDRUFF SHAMPOO 250ML</t>
  </si>
  <si>
    <t>3474637173487</t>
  </si>
  <si>
    <t>AMERICAN CREW DAILY CLEANSING SHAMPOO 250ML</t>
  </si>
  <si>
    <t>3474637173494</t>
  </si>
  <si>
    <t>BAOR G MASCARILLA 300 ML</t>
  </si>
  <si>
    <t>3474637227869</t>
  </si>
  <si>
    <t>BAOR G SHAMPOO 500 ML</t>
  </si>
  <si>
    <t>3474637227920</t>
  </si>
  <si>
    <t>BAOR HYDRO REESTRUCTURE 150 ML</t>
  </si>
  <si>
    <t>3614227345652</t>
  </si>
  <si>
    <t>BAOR K ACONDICIONADOR  300ML</t>
  </si>
  <si>
    <t>3616301710882</t>
  </si>
  <si>
    <t>KERASTASE DENSIFIQUE BAIN DENSITE HOMME 250ML</t>
  </si>
  <si>
    <t>4064666311487</t>
  </si>
  <si>
    <t>KERASTASE DISCIPLINE FONDANT 200ML</t>
  </si>
  <si>
    <t>4064666317373</t>
  </si>
  <si>
    <t>KERASTASE ELIXIR  L’HUILE ORIGINAL 75 ML</t>
  </si>
  <si>
    <t>4064666326108</t>
  </si>
  <si>
    <t>KERASTASE GENESIS BAIN FORTIFIANT HYDRA 250 ML</t>
  </si>
  <si>
    <t>4064666579931</t>
  </si>
  <si>
    <t>MOROCCANOIL HYDRATION DUO SHAMPOO  250 ML + CONDITIONER 250 ML</t>
  </si>
  <si>
    <t>71088260733257</t>
  </si>
  <si>
    <t>MOROCCANOIL HYDRATION STYLING CREAM 300 ML</t>
  </si>
  <si>
    <t>71535787339575</t>
  </si>
  <si>
    <t>OPI IS DUO BASE COAT + BRILLO</t>
  </si>
  <si>
    <t>73815446207879</t>
  </si>
  <si>
    <t>OPI IS MALAGA WINE</t>
  </si>
  <si>
    <t>738678000984</t>
  </si>
  <si>
    <t>REDKEN ACIDIC BONDING CONCENTRATE SHAMPOO SACHET</t>
  </si>
  <si>
    <t>8005610589473</t>
  </si>
  <si>
    <t>REDKEN SHADES EQ BONDER INSIDE GLOSS 03NB 60ML</t>
  </si>
  <si>
    <t>8022297092256</t>
  </si>
  <si>
    <t>REDKEN SHADES EQ GLOSS 07NA PEWTER 60 ML</t>
  </si>
  <si>
    <t>8022297111360</t>
  </si>
  <si>
    <t>REUZEL BLUE STRONG HOLD WATER SOLUBLE 4 OZ</t>
  </si>
  <si>
    <t>8022297141442</t>
  </si>
  <si>
    <t>REUZEL EXTREME HOLD MATTE POMADE 1.3 OZ</t>
  </si>
  <si>
    <t>8022297144825</t>
  </si>
  <si>
    <t>REVLON ONE ALL IN ONE HAIR MASK 300 ML</t>
  </si>
  <si>
    <t>8022297175324</t>
  </si>
  <si>
    <t>SEBASTIAN PENETRAITT DUO SHAMPOO 250 ML + CONDITIONER 250 ML</t>
  </si>
  <si>
    <t>840216930568</t>
  </si>
  <si>
    <t>SEBASTIAN POTION 9 150 ML</t>
  </si>
  <si>
    <t>840216932203</t>
  </si>
  <si>
    <t>TIGI BED HEAD HAIR STICK 2.57 OZ</t>
  </si>
  <si>
    <t>8432225137032</t>
  </si>
  <si>
    <t>TIGI BED HEAD RESURRECTION SHAMPOO 750 ML</t>
  </si>
  <si>
    <t>869519000099</t>
  </si>
  <si>
    <t>WELLA FUSION DUO SHAMPOO 1L + MASK 500 ML</t>
  </si>
  <si>
    <t>ALFA0000000014</t>
  </si>
  <si>
    <t>ALFAPARF CURLS DUO SHAMPOO 1L + CONDITIONER 1L</t>
  </si>
  <si>
    <t>1656458918424</t>
  </si>
  <si>
    <t>ALFAPARF KERATIN THERAPY LISSE DESIGN DUO SHAMPOO 250ML + CONDITIONER 250ML</t>
  </si>
  <si>
    <t>1658439048523</t>
  </si>
  <si>
    <t>ALFAPARF KERATIN THERAPY LISSE DESIGN SHAMPOO 250ML</t>
  </si>
  <si>
    <t>1658439048554</t>
  </si>
  <si>
    <t>ALFAPARF NUTRITIVE DUO SHAMPOO 250 ML + MASK 200 ML</t>
  </si>
  <si>
    <t>1658439048710</t>
  </si>
  <si>
    <t>ALFAPARF NUTRITIVE MASK 500  ML</t>
  </si>
  <si>
    <t>1658439048897</t>
  </si>
  <si>
    <t>ALFAPARF Nutritive Trío Shampoo 250 ml + Leave-in Conditioner 200 ml + Mask 200 ml</t>
  </si>
  <si>
    <t>1658439048953</t>
  </si>
  <si>
    <t>ALFAPARF PRECIOUS NATURE 60 GR - CASTAÑOS FRIOS 6.1 RUBIO OSCURO CENIZA</t>
  </si>
  <si>
    <t>1680548373721</t>
  </si>
  <si>
    <t>ALFAPARF PRECIOUS NATURE 60 GR - CASTAÑOS FRIOS 7.21 RUBIO MEDIO IRISADO CENIZA</t>
  </si>
  <si>
    <t>1683924464496</t>
  </si>
  <si>
    <t>ALFAPARF PRECIOUS NATURE 60 GR - CASTAÑOS FRIOS 8.1 RUBIO CLARO CENIZA</t>
  </si>
  <si>
    <t>1684359910963</t>
  </si>
  <si>
    <t>ALFAPARF REPARATIVE ANTI-DAMAGE CREAM 125ML</t>
  </si>
  <si>
    <t>3474636800438</t>
  </si>
  <si>
    <t>ALFAPARF SCALP BALANCING LOW SHAMPOO 250 ML</t>
  </si>
  <si>
    <t>3474636920242</t>
  </si>
  <si>
    <t>ALFAPARF SMOOTHING CREAM 125ML</t>
  </si>
  <si>
    <t>3474637077495</t>
  </si>
  <si>
    <t>ALFAPARF SUBLIME CELLULA MADRE  DUO ESPLENDOR AMPOLLAS (12 unid. x13ml) + GLOW MULTIPLIER 150 ML</t>
  </si>
  <si>
    <t>3474637135669</t>
  </si>
  <si>
    <t>AMERICAN CREW 3 IN 1 SHAMPOO 250ML</t>
  </si>
  <si>
    <t>3474637173463</t>
  </si>
  <si>
    <t>AMERICAN CREW MATTE CLAY 85GR</t>
  </si>
  <si>
    <t>3474637215163</t>
  </si>
  <si>
    <t>BAOR B DUO SHAMPOO 500 ML + ACOND. 300 ML</t>
  </si>
  <si>
    <t>3474637219598</t>
  </si>
  <si>
    <t>BAOR BRUSH THERMO PROTECTOR 150 ML</t>
  </si>
  <si>
    <t>3474637222567</t>
  </si>
  <si>
    <t>BAOR G ACONDICIONADOR 300 ML</t>
  </si>
  <si>
    <t>3474637222642</t>
  </si>
  <si>
    <t>KERASTASE ELIXIR ULTIME MASCARILLA 200 ML</t>
  </si>
  <si>
    <t>4064666538280</t>
  </si>
  <si>
    <t>KERASTASE GENESIS HOMME BAIN DE FORCE 250 ml – Cabello debilitado</t>
  </si>
  <si>
    <t>615908426151</t>
  </si>
  <si>
    <t>KERASTASE GENESIS SERUM ANTI-CHUTE FORTIFIANT 90 ML</t>
  </si>
  <si>
    <t>615908431209</t>
  </si>
  <si>
    <t>KERASTASE NUTRITIVE BAIN SATIN  250 ML</t>
  </si>
  <si>
    <t>615908432022</t>
  </si>
  <si>
    <t>KERASTASE NUTRITIVE BAIN SATIN RICHE 250 ML</t>
  </si>
  <si>
    <t>615908432077</t>
  </si>
  <si>
    <t>KERASTASE RESIST FORCE ARCHITECTE MASCARILLA 200 ML</t>
  </si>
  <si>
    <t>65827126472787</t>
  </si>
  <si>
    <t>KERASTASE RESIST THERAPISTE MASCARILLA 200 ML</t>
  </si>
  <si>
    <t>66112325182699</t>
  </si>
  <si>
    <t>LIVING PROOF RESTORE DUO SHAMPOO Y CONDITIONER 236 ML</t>
  </si>
  <si>
    <t>69393044353898</t>
  </si>
  <si>
    <t>MOROCCANOIL HYDRATION PACK SHAMPOO 250ML + CONDIT. 250ML + MINI ORIG TREATMENT 25ML + MARCHESA BAG</t>
  </si>
  <si>
    <t>71442415220248</t>
  </si>
  <si>
    <t>MOROCCANOIL TRATAMIENTO 200 ML</t>
  </si>
  <si>
    <t>72684772057467</t>
  </si>
  <si>
    <t>MOROCCANOIL TRATAMIENTO PURPLE 25 ML</t>
  </si>
  <si>
    <t>7290011521011</t>
  </si>
  <si>
    <t>OLAPLEX DUO N°4 1L Y OLAPLEX N°5 1L</t>
  </si>
  <si>
    <t>7290011521318</t>
  </si>
  <si>
    <t>OLAPLEX N°6 BOND SMOOTHER 100 ML</t>
  </si>
  <si>
    <t>7290016664928</t>
  </si>
  <si>
    <t>OPI LACA TOP COAT – Dúo Base + Brillo</t>
  </si>
  <si>
    <t>738678002698</t>
  </si>
  <si>
    <t>OPI REPAIR MODE 9ML</t>
  </si>
  <si>
    <t>74821314386342</t>
  </si>
  <si>
    <t>REDKEN ACIDIC BONDING CONCENTRATE CONDITIONER SACHET</t>
  </si>
  <si>
    <t>8005610569574</t>
  </si>
  <si>
    <t>REDKEN ACIDIC COLOR GLOSS CONDITIONER 300ML</t>
  </si>
  <si>
    <t>8005610672397</t>
  </si>
  <si>
    <t>REDKEN ACIDIC COLOR GLOSS HEAT PROTECTION LEAVE-IN TREATMENT 190 ML</t>
  </si>
  <si>
    <t>8022297035123</t>
  </si>
  <si>
    <t>REDKEN COLOR GELS OIL 5NN 60ML</t>
  </si>
  <si>
    <t>8022297057040</t>
  </si>
  <si>
    <t>REDKEN FRIZZ DISMISS SHAMPOO 300 ML</t>
  </si>
  <si>
    <t>8022297064284</t>
  </si>
  <si>
    <t>REDKEN SHADES EQ BONDER INSIDE GLOSS 08N MOJAVE 60 ML</t>
  </si>
  <si>
    <t>8022297095851</t>
  </si>
  <si>
    <t>REDKEN SHADES EQ GLOSS 01B</t>
  </si>
  <si>
    <t>8022297111193</t>
  </si>
  <si>
    <t>REDKEN SHADES EQ GLOSS 08NA VOLCANIC 60 ML</t>
  </si>
  <si>
    <t>8022297133362</t>
  </si>
  <si>
    <t>REUZEL CONCRETE HOLD MATTE POMADE 1.3 OZ</t>
  </si>
  <si>
    <t>8022297143361</t>
  </si>
  <si>
    <t>REUZEL EXTREME HOLD MATTE POMADE 4 OZ</t>
  </si>
  <si>
    <t>8022297144832</t>
  </si>
  <si>
    <t>REVLON EQUAVE ANTI BREAKAGE DETANG. CONDITIONER 200 ML</t>
  </si>
  <si>
    <t>8022297152394</t>
  </si>
  <si>
    <t>REVLON EQUAVE CURLS CONDITIONER 200 ML</t>
  </si>
  <si>
    <t>8022297154749</t>
  </si>
  <si>
    <t>REVLON EQUAVE HYDRO NUTRITIVE CONDITIONER 200 ML</t>
  </si>
  <si>
    <t>8022297154756</t>
  </si>
  <si>
    <t>TIGI BED HEAD AFTER PARTY 100 ML</t>
  </si>
  <si>
    <t>8432225115405</t>
  </si>
  <si>
    <t xml:space="preserve">TIGI BED HEAD MOISTURE MANIAC  DUO SHAMPOO 750 ML + COND 750 ML </t>
  </si>
  <si>
    <t>850018802550</t>
  </si>
  <si>
    <t>TIGI BED HEAD RECOVERY SHAMPOO 750ML</t>
  </si>
  <si>
    <t>850045076832</t>
  </si>
  <si>
    <t>WELLA COLOR MOTION MASCARILLA 500 ML</t>
  </si>
  <si>
    <t>884486389282</t>
  </si>
  <si>
    <t>WELLA FUSION CONDITIONER 1L</t>
  </si>
  <si>
    <t>9436013</t>
  </si>
  <si>
    <t>WELLA FUSION DUO SHAMPOO 250 ML + MASCARILLA 150 ML</t>
  </si>
  <si>
    <t>P0000000000030</t>
  </si>
  <si>
    <t>WELLA INVIGO NUTRIENRICH WONDER BALSAMO 150 ML</t>
  </si>
  <si>
    <t>P0000000000251</t>
  </si>
  <si>
    <t>WELLA NUTRICURLS CULRLIXIR BALM 150ML</t>
  </si>
  <si>
    <t>P0000000000278</t>
  </si>
  <si>
    <t>WELLA ULTIMATE REPAIR Dúo Shampoo 250 ml + Conditioner 200 ml</t>
  </si>
  <si>
    <t>P0000000000363</t>
  </si>
  <si>
    <t>ALFAPARF BB BLEACH 7 TONOS 50 gr</t>
  </si>
  <si>
    <t>0000030158405</t>
  </si>
  <si>
    <t>ALFAPARF BENVOLEO RECOVERY MASK 250ML</t>
  </si>
  <si>
    <t>0884486452993</t>
  </si>
  <si>
    <t>ALFAPARF CURLS CONDITIONER 200 ML</t>
  </si>
  <si>
    <t>1651861030954</t>
  </si>
  <si>
    <t>ALFAPARF CURLS DEFINING CREAM 125 ML</t>
  </si>
  <si>
    <t>1652822434098</t>
  </si>
  <si>
    <t>ALFAPARF DIAMOND MASK 200 ML</t>
  </si>
  <si>
    <t>1658439048267</t>
  </si>
  <si>
    <t>ALFAPARF KERATIN THERAPY LISSE DESIGN THE OIL 50 ML</t>
  </si>
  <si>
    <t>1658439048588</t>
  </si>
  <si>
    <t>ALFAPARF NUTRITIVE LEAVE IN CONDITIONER 1L</t>
  </si>
  <si>
    <t>1658439048766</t>
  </si>
  <si>
    <t>ALFAPARF NUTRITIVE LEAVE IN CONDITIONER 200 ML</t>
  </si>
  <si>
    <t>1658439048783</t>
  </si>
  <si>
    <t>ALFAPARF NUTRITIVE TRIO SHAMPOO 250ML + MASK 200ML + CRISTALLI LIQUID 30ML</t>
  </si>
  <si>
    <t>165843905769124</t>
  </si>
  <si>
    <t>ALFAPARF OXID 20 VOL 1LT</t>
  </si>
  <si>
    <t>165843906054765</t>
  </si>
  <si>
    <t>ALFAPARF PRECIOUS NATURE 60 GR - CASTAÑOS CALIDOS 5.53 CASTAÑO CLARO DORADO CAOBA</t>
  </si>
  <si>
    <t>1675371310231</t>
  </si>
  <si>
    <t>ALFAPARF PRECIOUS NATURE 60 GR - CASTAÑOS FRIOS 10.21 RUBIO EXTRA-CLARO IRISADO CENIZA</t>
  </si>
  <si>
    <t>1678979416988</t>
  </si>
  <si>
    <t>ALFAPARF PRECIOUS NATURE 60 GR - CASTAÑOS FRIOS 9.21 RUBIO CLARÍSIMO IRISADO CENIZA</t>
  </si>
  <si>
    <t>1687274004117</t>
  </si>
  <si>
    <t>ALFAPARF PRECIOUS NATURE 60 GR - NATURALES 7NI RUBIO MEDIO INTENSO</t>
  </si>
  <si>
    <t>3474630565432</t>
  </si>
  <si>
    <t>ALFAPARF PRECIOUS NATURE 60 GR - ROJOS 8.4 RUBIO CLARO COBRE</t>
  </si>
  <si>
    <t>3474636612918</t>
  </si>
  <si>
    <t>ALFAPARF PRECIOUS NATURE 60 GR - RUBIOS 6.3 RUBIO OSCURO DORADO</t>
  </si>
  <si>
    <t>3474636613168</t>
  </si>
  <si>
    <t>ALFAPARF REPARATIVE  MASK  200 ML</t>
  </si>
  <si>
    <t>3474636614103</t>
  </si>
  <si>
    <t>ALFAPARF REPARATIVE CREAM SACHET 5ML</t>
  </si>
  <si>
    <t>3474636857814</t>
  </si>
  <si>
    <t>ALFAPARF REPARATIVE SHAMPOO 250 ML</t>
  </si>
  <si>
    <t>3474636919956</t>
  </si>
  <si>
    <t>ALFAPARF REPARATIVE TRIO  SHAMPOO 250 ML  + MASCARILLA 200 ML +  FLUID 125 ML</t>
  </si>
  <si>
    <t>3474636919963</t>
  </si>
  <si>
    <t>ALFAPARF REPARATIVE TRIO- SHAMPOO 1L + MASK 500ML + FLUID 125ML</t>
  </si>
  <si>
    <t>3474636919987</t>
  </si>
  <si>
    <t>ALFAPARF SCALP DUO BALANCING SHAMPOO 1L + DIAMOND MASK 500 ML</t>
  </si>
  <si>
    <t>3474636920297</t>
  </si>
  <si>
    <t>ALFAPARF SCALP ENERGIZING SHAMPOO 250 ml + ENERGIZING LOTION 12 unid. x 10ml</t>
  </si>
  <si>
    <t>3474636968688</t>
  </si>
  <si>
    <t>ALFAPARF SCALP ENERGIZING TRIO SHAMPOO 250 ML + LOTION CAJA 12 UNID X 10 ML + TONIC 125</t>
  </si>
  <si>
    <t>3474636968787</t>
  </si>
  <si>
    <t>ALFAPARF SMOOTHING SHAMPOO 1L</t>
  </si>
  <si>
    <t>3474637090708</t>
  </si>
  <si>
    <t>ALFAPARF SUBLIME CELLULA MADRE  Dúo Definicion Ampollas (12 unid. x13ml) + Define Multiplier</t>
  </si>
  <si>
    <t>3474637135638</t>
  </si>
  <si>
    <t>ALFAPARF SUBLIME CELLULA MADRE SMOOTH MULTIPLIER 150 ML</t>
  </si>
  <si>
    <t>3474637154912</t>
  </si>
  <si>
    <t>ALFAPARF SUBLIME CRISTALLI LIQUIDI THE ORIGINAL 50 ML</t>
  </si>
  <si>
    <t>3474637154981</t>
  </si>
  <si>
    <t>ALFAPARF SUBLIME CRISTALLI LIQUIDI THE ORIGINAL15 ML</t>
  </si>
  <si>
    <t>3474637155018</t>
  </si>
  <si>
    <t>ALFAPARF SUBLIME ESSENTIAL OIL CAJA - 12 UNID. X 13 ML</t>
  </si>
  <si>
    <t>3474637155025</t>
  </si>
  <si>
    <t>ALFAPARF THE HAIR SUPP. BOND REBUILDER 300 ML</t>
  </si>
  <si>
    <t>3474637155049</t>
  </si>
  <si>
    <t>ALFAPARF THE HAIR SUPP. SCALP PROT 12 UNID  X 13 ML</t>
  </si>
  <si>
    <t>3474637155117</t>
  </si>
  <si>
    <t>AMERICAN CREW DETOX SHAMPOO 250ML</t>
  </si>
  <si>
    <t>3474637196585</t>
  </si>
  <si>
    <t>AMERICAN CREW FIBER 85GR</t>
  </si>
  <si>
    <t>3474637196615</t>
  </si>
  <si>
    <t>AMERICAN CREW FIBER CREAM 100ML</t>
  </si>
  <si>
    <t>3474637215132</t>
  </si>
  <si>
    <t>BAOR B MASCARILLA 300 ML</t>
  </si>
  <si>
    <t>3474637219611</t>
  </si>
  <si>
    <t>BAOR HYDRO – Restructure Collagen 150 ml – Pack x 2 unid.</t>
  </si>
  <si>
    <t>3614226750723</t>
  </si>
  <si>
    <t>KERASTASE CARTERA MADRES 2025</t>
  </si>
  <si>
    <t>4064665222661</t>
  </si>
  <si>
    <t>KERASTASE CHROMA ABSOLU BAIN CHROMA RESPECT 250ML - SHAMPOO HIDRATANTE</t>
  </si>
  <si>
    <t>4064665222913</t>
  </si>
  <si>
    <t>KERASTASE CHROMA ABSOLU BAIN CHROMA RESPECT 500ML</t>
  </si>
  <si>
    <t>4064665222920</t>
  </si>
  <si>
    <t>KERASTASE CHRONOLOGISTE MASK 75 ml</t>
  </si>
  <si>
    <t>4064666044255</t>
  </si>
  <si>
    <t>KERASTASE CHRONOLOGISTE PROTECTOR  THERMICO 150 ML</t>
  </si>
  <si>
    <t>4064666102429</t>
  </si>
  <si>
    <t>KERASTASE CURL MANIFIESTO FONDANT 250 ML</t>
  </si>
  <si>
    <t>4064666211770</t>
  </si>
  <si>
    <t>KERASTASE CURL MANIFIESTO GELEE  150 ML</t>
  </si>
  <si>
    <t>4064666225241</t>
  </si>
  <si>
    <t>KERASTASE DISCIPLINE BAIN GENTLE SIN SULF 500 ML</t>
  </si>
  <si>
    <t>4064666316109</t>
  </si>
  <si>
    <t>KERASTASE DISCIPLINE MASCARILLA 200ML</t>
  </si>
  <si>
    <t>4064666318233</t>
  </si>
  <si>
    <t>KERASTASE ELIXIR ULTIME SHAMPOO 250 ML</t>
  </si>
  <si>
    <t>4064666579924</t>
  </si>
  <si>
    <t>KERASTASE GENESIS CONDITIONER 75 ML</t>
  </si>
  <si>
    <t>4064666580098</t>
  </si>
  <si>
    <t>KERASTASE GÉNESIS DUO BAIN HYDRA 250 ml + ACOND. 200 ml</t>
  </si>
  <si>
    <t>615908425819</t>
  </si>
  <si>
    <t>KERASTASE GÉNESIS DUO BAIN NUTRI 250 ml + ACOND. 200 ml</t>
  </si>
  <si>
    <t>615908425826</t>
  </si>
  <si>
    <t>KERASTASE GENESIS HOMME BAIN DE MASSE 250 ml – Potenciador de grosor</t>
  </si>
  <si>
    <t>615908426496</t>
  </si>
  <si>
    <t>KERASTASE GENESIS HOMME SERUM 90 ML</t>
  </si>
  <si>
    <t>615908428209</t>
  </si>
  <si>
    <t>KERASTASE NUTRITIVE LAIT VITAL 75 ML</t>
  </si>
  <si>
    <t>615908433197</t>
  </si>
  <si>
    <t>KERASTASE NUTRITIVE SPLIT ENDS SERUM 50 ML</t>
  </si>
  <si>
    <t>619828011039</t>
  </si>
  <si>
    <t>KERASTASE PREMIERE Travel Pack Shampoo 80 ml + Tratamiento Concentrado 45 ml + Regalo Neceser rosado</t>
  </si>
  <si>
    <t>619828051882</t>
  </si>
  <si>
    <t>KERASTASE RESIST EXTENTIONISTE ACONDICIONADOR 200 ML</t>
  </si>
  <si>
    <t>619828127488</t>
  </si>
  <si>
    <t>KERASTASE RESIST EXTENTIONISTE MASCARILLA 200 ML</t>
  </si>
  <si>
    <t>619828127570</t>
  </si>
  <si>
    <t>KERASTASE RESISTANCE FORCE - DUO BAIN 250 ML + CIMENT ANTI-USURE 200 ML</t>
  </si>
  <si>
    <t>66388964248454</t>
  </si>
  <si>
    <t>KERASTASE SPECIFIQUE DERMOCALM VITAL SHAMPOO 250 ML</t>
  </si>
  <si>
    <t>66490287858229</t>
  </si>
  <si>
    <t>LIVING PROOF BOND CLARIFYING DETOX SHAMPOO 1L</t>
  </si>
  <si>
    <t>66809172560286</t>
  </si>
  <si>
    <t>LIVING PROOF FULL DRY VOLUME &amp; TEXTURE SPRAY 7.5 OZ</t>
  </si>
  <si>
    <t>669316058220</t>
  </si>
  <si>
    <t>LIVING PROOF NO FRIZZ SMOOTH STYLING SPRAY 200 ML</t>
  </si>
  <si>
    <t>67544731546786</t>
  </si>
  <si>
    <t>LIVING PROOF PHD 5 IN 1 STYLING TREATMENT 4. OZ</t>
  </si>
  <si>
    <t>67737221327637</t>
  </si>
  <si>
    <t>LIVING PROOF PHD ADVANCED CLEAN DRY SHAMPOO 184 ML</t>
  </si>
  <si>
    <t>67753132346869</t>
  </si>
  <si>
    <t>LIVING PROOF RESTORE CONDITIONER 1L</t>
  </si>
  <si>
    <t>69361411309575</t>
  </si>
  <si>
    <t>LIVING PROOF SCALP CARE DENSITY SERUM 50 ML</t>
  </si>
  <si>
    <t>69747872044763</t>
  </si>
  <si>
    <t>MOROCCANOIL CERAMIC BRUSH PADDLE</t>
  </si>
  <si>
    <t>70230421248988</t>
  </si>
  <si>
    <t>MOROCCANOIL CURL CONDITIONER 250 ML</t>
  </si>
  <si>
    <t>70622052843294</t>
  </si>
  <si>
    <t>MOROCCANOIL CURL SHAMPOO 1 LT</t>
  </si>
  <si>
    <t>70688013562056</t>
  </si>
  <si>
    <t xml:space="preserve">MOROCCANOIL DUO COLOR CARE BLONDE PURPLE SHAMPOO 200 ML + TRAT U VIOLET 25 ML </t>
  </si>
  <si>
    <t>70688123914015</t>
  </si>
  <si>
    <t>MOROCCANOIL FRIZZ CONTROL SMOOTHING LOTION 300ML</t>
  </si>
  <si>
    <t>70759990102265</t>
  </si>
  <si>
    <t>MOROCCANOIL HYDRATION – Dúo Hydrating Styling Cream 300 ml + Treatment 25 ml</t>
  </si>
  <si>
    <t>70792545469010</t>
  </si>
  <si>
    <t>MOROCCANOIL HYDRATION – Dúo Shampoo 1L + Conditioner 1L</t>
  </si>
  <si>
    <t>70983204353489</t>
  </si>
  <si>
    <t>MOROCCANOIL HYDRATION WEIGHTLESS HYDRATING MASK 250 ML</t>
  </si>
  <si>
    <t>71710954022036</t>
  </si>
  <si>
    <t>MOROCCANOIL PERFECT DEFENSE 225ML</t>
  </si>
  <si>
    <t>72191624663068</t>
  </si>
  <si>
    <t>MOROCCANOIL REPAIR DUO SHAMPOO 250 ML + CONDITIONER 250 ML</t>
  </si>
  <si>
    <t>72314515583874</t>
  </si>
  <si>
    <t>MOROCCANOIL REPAIR RESTORATIVE HAIR MASK 250 ML</t>
  </si>
  <si>
    <t>72624198366171</t>
  </si>
  <si>
    <t>MOROCCANOIL TRATAMIENTO 25 ML</t>
  </si>
  <si>
    <t>72727926735483</t>
  </si>
  <si>
    <t>MOROCCANOIL TRATAMIENTO LIGHT 100 ML</t>
  </si>
  <si>
    <t>72770036541859</t>
  </si>
  <si>
    <t xml:space="preserve">OLAPLEX N°4 BOND MAINTENANCE SHAMPOO 250 ML </t>
  </si>
  <si>
    <t>7290013627216</t>
  </si>
  <si>
    <t>OLAPLEX N°5 BOND MAINTENANCE CONDITIONER 250 ML</t>
  </si>
  <si>
    <t>7290016494341</t>
  </si>
  <si>
    <t>OLAPLEX N°7 BONDING OIL 60 ML</t>
  </si>
  <si>
    <t>7290113142947</t>
  </si>
  <si>
    <t>OLAPLEX TRIO N°3 , N°6 Y N°7</t>
  </si>
  <si>
    <t>72961154986268</t>
  </si>
  <si>
    <t>OPI DRIP DRY 8ML</t>
  </si>
  <si>
    <t>72961164616637</t>
  </si>
  <si>
    <t>OPI POLISH REMOVER (QUITA ESMALTES ) 3.7 OZ</t>
  </si>
  <si>
    <t>74475574313867</t>
  </si>
  <si>
    <t>OPI PRO SPA NAIL &amp; CUTICLE OIL 14.8 ML</t>
  </si>
  <si>
    <t>74602707660306</t>
  </si>
  <si>
    <t>OPI PRO SPA PROTECTIVE HAND NAIL &amp; CUTICLE CREAM 1.7 OZ</t>
  </si>
  <si>
    <t>74604454339066</t>
  </si>
  <si>
    <t>OPI START TO FINISH 3 en 1 - VITAMINA A+E</t>
  </si>
  <si>
    <t>75034531390472</t>
  </si>
  <si>
    <t>REDKEN ACIDIC BONDING CONCENTRATE – Dúo Shampoo 1L + Conditioner 1L</t>
  </si>
  <si>
    <t>75088036808784</t>
  </si>
  <si>
    <t>REDKEN ACIDIC BONDING CONCENTRATE – Dúo Shampoo 300 ml + Conditioner 300 ml</t>
  </si>
  <si>
    <t>75243802677802</t>
  </si>
  <si>
    <t>REDKEN ACIDIC BONDING CONCENTRATE CONDITIONER 1000 ML</t>
  </si>
  <si>
    <t>8005610426648</t>
  </si>
  <si>
    <t>REDKEN ACIDIC COLOR GLOSS SHAMPOO 1L</t>
  </si>
  <si>
    <t>8022297048178</t>
  </si>
  <si>
    <t>REDKEN ACIDIC COLOR GLOSS SHAMPOO 300ML</t>
  </si>
  <si>
    <t>8022297048185</t>
  </si>
  <si>
    <t>REDKEN ALL SOFT ARGAN OIL 111 ML</t>
  </si>
  <si>
    <t>8022297056722</t>
  </si>
  <si>
    <t>REDKEN ALL SOFT CONDITIONER 1000 ML</t>
  </si>
  <si>
    <t>8022297056739</t>
  </si>
  <si>
    <t xml:space="preserve">REDKEN ALL SOFT SHAMPOO 1000 ML </t>
  </si>
  <si>
    <t>8022297056807</t>
  </si>
  <si>
    <t>REDKEN ALL SOFT SHAMPOO 300 ML</t>
  </si>
  <si>
    <t>8022297056814</t>
  </si>
  <si>
    <t>REDKEN CLEAN MANIAC CLARIFYING SHAMPOO 1LT</t>
  </si>
  <si>
    <t>8022297056951</t>
  </si>
  <si>
    <t>REDKEN COLOR GELS OIL 06NW 60ML</t>
  </si>
  <si>
    <t>8022297057019</t>
  </si>
  <si>
    <t>REDKEN COLOR GELS OIL 4NN 60ML</t>
  </si>
  <si>
    <t>8022297057026</t>
  </si>
  <si>
    <t>REDKEN COLOR GELS OIL 6N 60ML</t>
  </si>
  <si>
    <t>8022297057088</t>
  </si>
  <si>
    <t>REDKEN EXTREME – Dúo Shampoo 300 ml + Conditioner 300 ml</t>
  </si>
  <si>
    <t>8022297057101</t>
  </si>
  <si>
    <t xml:space="preserve">REDKEN EXTREME CONDITIONER 1000 ML </t>
  </si>
  <si>
    <t>8022297057118</t>
  </si>
  <si>
    <t>REDKEN EXTREME PLAY SAFE 230°C 250 ML</t>
  </si>
  <si>
    <t>8022297057149</t>
  </si>
  <si>
    <t>REDKEN FRIZZ DISMISS CONDITIONER 300 ML</t>
  </si>
  <si>
    <t>8022297057163</t>
  </si>
  <si>
    <t>REDKEN FRIZZ DISMISS REBEL TAME CREAM 250 ML – Crema Termoprotectora</t>
  </si>
  <si>
    <t>8022297064277</t>
  </si>
  <si>
    <t>REDKEN SHADES EQ BONDER INSIDE GLOSS 09NB IRISH CREME 60 ML</t>
  </si>
  <si>
    <t>8022297108612</t>
  </si>
  <si>
    <t>REUZEL AFTER SHAVE 3.38 OZ</t>
  </si>
  <si>
    <t>8022297133478</t>
  </si>
  <si>
    <t>REUZEL CONCRETE HOLD MATTE POMADE 4 OZ</t>
  </si>
  <si>
    <t>8022297144818</t>
  </si>
  <si>
    <t>REVLON EQUAVE ANTI BRASSINESS CONDITIONER 200 ML</t>
  </si>
  <si>
    <t>8022297148670</t>
  </si>
  <si>
    <t>REVLON EQUAVE COLOR CONDITIONER 200 ML</t>
  </si>
  <si>
    <t>8022297152530</t>
  </si>
  <si>
    <t>REVLON EQUAVE STRENGTHENING CONDITIONER 200 ML</t>
  </si>
  <si>
    <t>8022297175317</t>
  </si>
  <si>
    <t>SEBASTIAN DARK OIL MASK 150 ML</t>
  </si>
  <si>
    <t>815305025579</t>
  </si>
  <si>
    <t>SEBASTIAN HYDRE CONDITIONER 250ML</t>
  </si>
  <si>
    <t>815305029430</t>
  </si>
  <si>
    <t xml:space="preserve">SEBASTIAN PENETRAITT DUO SHAMPOO 1L + MASK 500 ML </t>
  </si>
  <si>
    <t>840216930407</t>
  </si>
  <si>
    <t xml:space="preserve">SEBASTIAN PENETRAITT TRIO SHAMPOO + CONDITIONER + MASK 150 ML </t>
  </si>
  <si>
    <t>840216931503</t>
  </si>
  <si>
    <t>THINK PINK CEPILLO NEGRO</t>
  </si>
  <si>
    <t>8432225113302</t>
  </si>
  <si>
    <t xml:space="preserve">TIGI BED HEAD CURLS ROCK AMPLIFIER 3.82 OZ 113 ML  </t>
  </si>
  <si>
    <t>8432225129921</t>
  </si>
  <si>
    <t>TIGI BED HEAD DUO CURLS ROCK AMPLIFIER 113 ML + FOXY CURLS CREAM 200 ML</t>
  </si>
  <si>
    <t>8432225131887</t>
  </si>
  <si>
    <t>TIGI BED HEAD EGO BOOST 237 ML</t>
  </si>
  <si>
    <t>8432225137018</t>
  </si>
  <si>
    <t>TIGI BED HEAD POWER PLAY FIRM FINISH GEL 6.7 OZ / 200 ML</t>
  </si>
  <si>
    <t>850018802581</t>
  </si>
  <si>
    <t>TIGI BED HEAD PURE TEXTURE MOLDING PASTE 2.93 OZ</t>
  </si>
  <si>
    <t>850018802796</t>
  </si>
  <si>
    <t xml:space="preserve">TIGI BED HEAD RESURRECTION PACK SHAMPOO 400 ML + COND. 400 ML + MASK 200 ML </t>
  </si>
  <si>
    <t>859764003563</t>
  </si>
  <si>
    <t>WELLA COLOR MOTION SHAMPOO 250 ML</t>
  </si>
  <si>
    <t>884486389299</t>
  </si>
  <si>
    <t>WELLA INVIGO NUTRIENRICH DUO SHAMPOO 1L + CONDITIONER 1L</t>
  </si>
  <si>
    <t>P0000000000079</t>
  </si>
  <si>
    <t>WELLA INVIGO NUTRIENRICH DUO SHAMPOO 250 ML + CONDITIONER 200 ML</t>
  </si>
  <si>
    <t>P0000000000081</t>
  </si>
  <si>
    <t>ALFAPARF BB BLEACH 9 TONOS 400 gr.</t>
  </si>
  <si>
    <t>0000030160996</t>
  </si>
  <si>
    <t>ALFAPARF BENVOLEO Dúo Glossy Micellar Shampoo 275 ml + Conditioner 200 ml</t>
  </si>
  <si>
    <t>0619828127778</t>
  </si>
  <si>
    <t>ALFAPARF BENVOLEO Dúo Hydration Creamy Shampoo 200 ml + Conditioner 275 ml</t>
  </si>
  <si>
    <t>0700393129</t>
  </si>
  <si>
    <t>ALFAPARF BENVOLEO RECOVERY MASK 450ML</t>
  </si>
  <si>
    <t>0884486456281</t>
  </si>
  <si>
    <t>ALFAPARF BENVOLEO RECOVERY SHOT - BOOSTER REESTRUCTURANTE 100ML</t>
  </si>
  <si>
    <t>0884486456311</t>
  </si>
  <si>
    <t>ALFAPARF BLONDE ANTI-YELLOW SHAMPOO 250 ML</t>
  </si>
  <si>
    <t>1643222966501</t>
  </si>
  <si>
    <t>ALFAPARF BOWL</t>
  </si>
  <si>
    <t>1648919592882</t>
  </si>
  <si>
    <t>ALFAPARF BRUNETTE ANTI ORANGE DUO SHAMPOO 250 ML + CONDITIONER 200 ML</t>
  </si>
  <si>
    <t>1648919619804</t>
  </si>
  <si>
    <t>ALFAPARF BRUNETTE ANTI-ORANGE SHAMPOO 250 ML</t>
  </si>
  <si>
    <t>1650403328234</t>
  </si>
  <si>
    <t>ALFAPARF CURLS SHAMPOO 250 ML</t>
  </si>
  <si>
    <t>1656458936523</t>
  </si>
  <si>
    <t>ALFAPARF DIAMOND MASK 500 ML + CRISTALLI LIQUID 30 ML</t>
  </si>
  <si>
    <t>1658439048306</t>
  </si>
  <si>
    <t>ALFAPARF Diamond Trio Shampoo 250 ml + Conditioner 200 ml + Mask 200 ml</t>
  </si>
  <si>
    <t>1658439048338</t>
  </si>
  <si>
    <t>ALFAPARF DUO BROCHA TINTE + BOWL</t>
  </si>
  <si>
    <t>1658439048413</t>
  </si>
  <si>
    <t>ALFAPARF Dúo Energizing Shampoo 250 ml + Diamond Conditioner 200 ml</t>
  </si>
  <si>
    <t>1658439048463</t>
  </si>
  <si>
    <t>ALFAPARF Dúo Purifying Shampoo 250 ml + Diamond Conditioner 200 ml</t>
  </si>
  <si>
    <t>1658439048519</t>
  </si>
  <si>
    <t>ALFAPARF KERATIN THERAPY SMOOTHING FLUID (2) 500ml</t>
  </si>
  <si>
    <t>1658439048596</t>
  </si>
  <si>
    <t>ALFAPARF NUTRITIVE DETANGLING FLUID 125 ML</t>
  </si>
  <si>
    <t>1658439048613</t>
  </si>
  <si>
    <t>ALFAPARF NUTRITIVE ESSENTIAL OIL CAJA 6 UNID. X 13 ML</t>
  </si>
  <si>
    <t>1658439048743</t>
  </si>
  <si>
    <t>ALFAPARF NUTRITIVE MASK  200 ML</t>
  </si>
  <si>
    <t>1658439048843</t>
  </si>
  <si>
    <t>ALFAPARF NUTRITIVE SHAMPOO 1L</t>
  </si>
  <si>
    <t>1658439048945</t>
  </si>
  <si>
    <t xml:space="preserve">ALFAPARF NUTRITIVE TRIO SHAMPOO 250 ML + MASK 200 ML + LEAVE IN 200 ML </t>
  </si>
  <si>
    <t>165843905693559</t>
  </si>
  <si>
    <t>ALFAPARF PRECIOUS NATURE 60 GR - CASTAÑOS CALIDOS 6.32 RUBIO OSCURO DORADO IRISADO</t>
  </si>
  <si>
    <t>1677170682887</t>
  </si>
  <si>
    <t>ALFAPARF PRECIOUS NATURE 60 GR - CASTAÑOS CALIDOS 7.32 RUBIO MEDIO IRISADO</t>
  </si>
  <si>
    <t>1677176370892</t>
  </si>
  <si>
    <t>ALFAPARF PRECIOUS NATURE 60 GR - CASTAÑOS FRIOS 5.1 CASTAÑO CLARO CENIZA</t>
  </si>
  <si>
    <t>1680365544111</t>
  </si>
  <si>
    <t>ALFAPARF PRECIOUS NATURE 60 GR - CASTAÑOS FRIOS 8.21 RUBIO CLARO IRISADO CENIZA</t>
  </si>
  <si>
    <t>1685998503201</t>
  </si>
  <si>
    <t>ALFAPARF PRECIOUS NATURE 60 GR - NATURALES 5 CASTAÑO CLARO</t>
  </si>
  <si>
    <t>1690409439071</t>
  </si>
  <si>
    <t>ALFAPARF PRECIOUS NATURE 60 GR - NATURALES 8 RUBIO CLARO</t>
  </si>
  <si>
    <t>3474630647374</t>
  </si>
  <si>
    <t>ALFAPARF PRECIOUS NATURE 60 GR - NATURALES 8NI RUBIO CLARO INTENSO</t>
  </si>
  <si>
    <t>3474636397389</t>
  </si>
  <si>
    <t>ALFAPARF PRECIOUS NATURE 60 GR - NATURALES FRIOS 5NF CASTAÑO CLARO FRIO</t>
  </si>
  <si>
    <t>3474636397433</t>
  </si>
  <si>
    <t>ALFAPARF PRECIOUS NATURE 60 GR - ROJOS 4.66 CASTAÑO MEDIO ROJO INTENSO</t>
  </si>
  <si>
    <t>3474636397983</t>
  </si>
  <si>
    <t>ALFAPARF PRECIOUS NATURE 60 GR - ROJOS 5.66 CASTAÑO CLARO ROJO INTENSO</t>
  </si>
  <si>
    <t>3474636400195</t>
  </si>
  <si>
    <t>ALFAPARF PRECIOUS NATURE 60 GR - ROJOS 6.66 RUBIO OSCURO ROJO INTENSO</t>
  </si>
  <si>
    <t>3474636400201</t>
  </si>
  <si>
    <t>ALFAPARF REPARATIVE  MASK  500 ML</t>
  </si>
  <si>
    <t>3474636692231</t>
  </si>
  <si>
    <t>ALFAPARF REPARATIVE DUO SHAMPOO 250 ML + MASCARILLA 200 ML</t>
  </si>
  <si>
    <t>3474636857975</t>
  </si>
  <si>
    <t>ALFAPARF REPARATIVE LIGHT MASK 200 ML</t>
  </si>
  <si>
    <t>3474636858002</t>
  </si>
  <si>
    <t>ALFAPARF REPARATIVE LOTION CAJA (6 unid.x13ml)</t>
  </si>
  <si>
    <t>3474636874033</t>
  </si>
  <si>
    <t>ALFAPARF SCALP DUO ENERGIZING SHAMPOO 1L + DIAMOND MASK 500 ML</t>
  </si>
  <si>
    <t>3474636948888</t>
  </si>
  <si>
    <t>ALFAPARF SCALP ENERGIZING LOTION CAJA 12 UNID.  X 10 ML</t>
  </si>
  <si>
    <t>3474636954681</t>
  </si>
  <si>
    <t>ALFAPARF SMOOTHING DUO SHAMPOO  1LT  + MASCARILLA 500 ML</t>
  </si>
  <si>
    <t>3474637077518</t>
  </si>
  <si>
    <t>ALFAPARF SMOOTHING DUO SHAMPOO 250 ML + MASK 200 ML</t>
  </si>
  <si>
    <t>3474637077525</t>
  </si>
  <si>
    <t>ALFAPARF SMOOTHING MASK  200 ML</t>
  </si>
  <si>
    <t>3474637089702</t>
  </si>
  <si>
    <t>ALFAPARF SMOOTHING SHAMPOO 250 ML</t>
  </si>
  <si>
    <t>3474637102555</t>
  </si>
  <si>
    <t>ALFAPARF SUBLIME CELLULA MADRE – Dúo Antifrizz  Ampollas (12 unid. x13ml) + Smooth Multiplier 150 ml</t>
  </si>
  <si>
    <t>3474637107789</t>
  </si>
  <si>
    <t>ALFAPARF SUBLIME CELLULA MADRE  DUO NUTRITIVO AMPOLLAS  (12 unid. x13ml) + NOURISHMENT MULTIP 150 ML</t>
  </si>
  <si>
    <t>3474637135744</t>
  </si>
  <si>
    <t>ALFAPARF SUBLIME CELLULA MADRE NOURISHMENT MULTIPLIER 150 ML</t>
  </si>
  <si>
    <t>3474637136321</t>
  </si>
  <si>
    <t>ALFAPARF SUBLIME CELLULA MADRE RESTRUCTURING MULTIPLIER 150ML</t>
  </si>
  <si>
    <t>3474637144647</t>
  </si>
  <si>
    <t>ALFAPARF SUNSHINE HAIR PROTECTIVE MILK 125ML</t>
  </si>
  <si>
    <t>3474637155032</t>
  </si>
  <si>
    <t xml:space="preserve">ALFAPARF THE HAIR SUPP. SCALP &amp; FIB. REST. 250 ML </t>
  </si>
  <si>
    <t>3474637155063</t>
  </si>
  <si>
    <t>AMERICAN CREW ANTI HAIR LOSS SHAMPOO 250ML</t>
  </si>
  <si>
    <t>3474637173470</t>
  </si>
  <si>
    <t>AMERICAN CREW DAILY SILVER SHAMPOO 250ML</t>
  </si>
  <si>
    <t>3474637174170</t>
  </si>
  <si>
    <t>AMERICAN CREW DEFINING PASTE 85GR</t>
  </si>
  <si>
    <t>3474637196493</t>
  </si>
  <si>
    <t>AMERICAN CREW MOLDING CLAY 85GR</t>
  </si>
  <si>
    <t>3474637219451</t>
  </si>
  <si>
    <t>BAOR BRUSH Termo Protector 150 ml - Pack x 2 unid.</t>
  </si>
  <si>
    <t>3474637222529</t>
  </si>
  <si>
    <t>KERASTASE BLOND ABSOLU CICAEXTREME HUILE 100 ML</t>
  </si>
  <si>
    <t>4064665119695</t>
  </si>
  <si>
    <t>KERASTASE BLOND ABSOLU CICAEXTREME HUILE 50 ML</t>
  </si>
  <si>
    <t>4064665202571</t>
  </si>
  <si>
    <t>KERASTASE BLOND ABSOLU CICAFLASH  ACOND 250 ML</t>
  </si>
  <si>
    <t>4064665202625</t>
  </si>
  <si>
    <t>KERASTASE BLOND ABSOLU DUO U VIOLET + ACONDI CICAFLASH</t>
  </si>
  <si>
    <t>4064665205787</t>
  </si>
  <si>
    <t>KERASTASE BLOND ABSOLU UVIOLET SHAMPOO  250ML</t>
  </si>
  <si>
    <t>4064665205794</t>
  </si>
  <si>
    <t>KERASTASE CHROMA ABSOLU CONDITIONER 200 ML</t>
  </si>
  <si>
    <t>4064666043623</t>
  </si>
  <si>
    <t>KERASTASE CHRONOLOGISTE L'HUILE DE PARFUM 75ML</t>
  </si>
  <si>
    <t>4064666043890</t>
  </si>
  <si>
    <t>KERASTASE CHRONOLOGISTE SHAMPOO 250 ML</t>
  </si>
  <si>
    <t>4064666102740</t>
  </si>
  <si>
    <t>KERASTASE CURL MANIFIESTO SHAMPOO  250 ML</t>
  </si>
  <si>
    <t>4064666305172</t>
  </si>
  <si>
    <t>KERASTASE DISCIPLINE - Pack Shampoo Fluidéaliste Gentle 250 ml + Conditioner Fluidéaliste 200 ml + N</t>
  </si>
  <si>
    <t>4064666315713</t>
  </si>
  <si>
    <t>KERASTASE DISCIPLINE DUO SHAMPOO SULF. FREE 250 ML  + ACOND. 200 ML</t>
  </si>
  <si>
    <t>4064666316161</t>
  </si>
  <si>
    <t>KERASTASE DISCIPLINE FLUIDEALISTE BAIN GENTLE SULF FREE 250ML</t>
  </si>
  <si>
    <t>4064666316208</t>
  </si>
  <si>
    <t>KERASTASE DISCIPLINE KERATIN THERMIQUE 150 ML</t>
  </si>
  <si>
    <t>4064666317540</t>
  </si>
  <si>
    <t>KERASTASE DISCIPLINE OLEO RELAX 75 ML</t>
  </si>
  <si>
    <t>4064666318264</t>
  </si>
  <si>
    <t>KERASTASE DISCIPLINE OLEO RELAX MASK 200 ML</t>
  </si>
  <si>
    <t>4064666319490</t>
  </si>
  <si>
    <t>KERASTASE DISCIPLINE OLEO RELAX REFIL 75 ML</t>
  </si>
  <si>
    <t>4064666322575</t>
  </si>
  <si>
    <t>KERASTASE DUO ELIXIR ULTIME L'HUILE ORIGINALI 75 ML + 8H MAGIC NIGTH SERUM 90 ML</t>
  </si>
  <si>
    <t>4064666326085</t>
  </si>
  <si>
    <t>KERASTASE ELIXIR ULTIME CONDITIONER 200 ML</t>
  </si>
  <si>
    <t>4064666336169</t>
  </si>
  <si>
    <t>KERASTASE GENESIS DEFENSE THERMIQUE 150 ML</t>
  </si>
  <si>
    <t>615908403718</t>
  </si>
  <si>
    <t>KERASTASE GENESIS MASK 200 ML</t>
  </si>
  <si>
    <t>615908428537</t>
  </si>
  <si>
    <t>KERASTASE NECESER BLANCO 2025</t>
  </si>
  <si>
    <t>615908431339</t>
  </si>
  <si>
    <t>KERASTASE NECESER NEGRO 2024</t>
  </si>
  <si>
    <t>615908431438</t>
  </si>
  <si>
    <t>KERASTASE NUTRITIVE - DUO BAIN SATIN RICHE 250ML + LAIT VITAL 200ML</t>
  </si>
  <si>
    <t>615908431575</t>
  </si>
  <si>
    <t>KERASTASE NUTRITIVE LOTION THERMIQUE SUBLIMATRICE 150 ML</t>
  </si>
  <si>
    <t>615908433432</t>
  </si>
  <si>
    <t>KERASTASE NUTRITIVE MASQUINTENSE 500 ML</t>
  </si>
  <si>
    <t>615908433524</t>
  </si>
  <si>
    <t>KERASTASE NUTRITIVE MASQUINTENSE RICHE 500ML</t>
  </si>
  <si>
    <t>615908433548</t>
  </si>
  <si>
    <t>KERASTASE NUTRITIVE NECTAR THERMIQUE 150 ML</t>
  </si>
  <si>
    <t>615908433555</t>
  </si>
  <si>
    <t>KERASTASE RESIST EXTENTIONISTE SHAMPOO 250 ML</t>
  </si>
  <si>
    <t>619828127723</t>
  </si>
  <si>
    <t>KERASTASE RESIST FORCE ARCHITECTE MASCARILLA 500 ML</t>
  </si>
  <si>
    <t>65998012147260</t>
  </si>
  <si>
    <t>KERASTASE RESIST FORCE ARCHITECTE SHAMPOO 250 ML</t>
  </si>
  <si>
    <t>66016679045375</t>
  </si>
  <si>
    <t>KERASTASE RESIST THERAPISTE  DUO SHAMPOO 250 ML  + MASCARILLA 200 ML</t>
  </si>
  <si>
    <t>66067609266613</t>
  </si>
  <si>
    <t>KERASTASE RESIST THERAPISTE SERUM  30 ML</t>
  </si>
  <si>
    <t>66119320389314</t>
  </si>
  <si>
    <t>KERASTASE RESIST THERAPISTE SHAMPOO 250 ML</t>
  </si>
  <si>
    <t>66121016447088</t>
  </si>
  <si>
    <t>KERASTASE RESIST THERAPISTE SHAMPOO 450 ML</t>
  </si>
  <si>
    <t>66345186781501</t>
  </si>
  <si>
    <t xml:space="preserve">KERASTASE SPECIFIQUE DIVALENT ARGILLE EQUILIBRANTE 250 ML </t>
  </si>
  <si>
    <t>66570949988805</t>
  </si>
  <si>
    <t>KERASTASE SYMBIOSE - Dúo Purete Symbiose Shampoo 250 ml + Conditioner 200 ml</t>
  </si>
  <si>
    <t>66663484327427</t>
  </si>
  <si>
    <t>KERASTASE SYMBIOSE MICRO PEELING CELLULAIRE 200 ML</t>
  </si>
  <si>
    <t>66663495592248</t>
  </si>
  <si>
    <t>KERASTASE SYMBIOSE PURETE ANTIPE. PURIFICANTE SHAMPOO 250 ML</t>
  </si>
  <si>
    <t>66758112309919</t>
  </si>
  <si>
    <t>KERASTASE SYMBIOSE SERUM CELLULAIRE ANTI-PECULLI 90 ML</t>
  </si>
  <si>
    <t>66760582402445</t>
  </si>
  <si>
    <t>LIVING PROOF CURL DEFINING GEL 148 ML/5 OZ</t>
  </si>
  <si>
    <t>66862347580832</t>
  </si>
  <si>
    <t>LIVING PROOF FULL – Dúo Shampoo + Conditioner 236 ml</t>
  </si>
  <si>
    <t>66907050105704</t>
  </si>
  <si>
    <t>LIVING PROOF FULL SHAMPOO 8.0 O.Z</t>
  </si>
  <si>
    <t>669316408063</t>
  </si>
  <si>
    <t>LIVING PROOF FULL THICKENING MOUSSE 149ML</t>
  </si>
  <si>
    <t>67284921704058</t>
  </si>
  <si>
    <t>LIVING PROOF NO FRIZZ CONDITIONER 236 ML</t>
  </si>
  <si>
    <t>67485165815259</t>
  </si>
  <si>
    <t>LIVING PROOF NO FRIZZ SHAMPOO 1L</t>
  </si>
  <si>
    <t>67527390526187</t>
  </si>
  <si>
    <t>LIVING PROOF NO FRIZZ SMOOTH STYLING SERUM 45 ML</t>
  </si>
  <si>
    <t>67544721427102</t>
  </si>
  <si>
    <t>LIVING PROOF NO FRIZZ VANISHING OIL 50 ML</t>
  </si>
  <si>
    <t>67728872226435</t>
  </si>
  <si>
    <t>LIVING PROOF PHD ADVANCED CLEAN DRY SHAMPOO 335ML</t>
  </si>
  <si>
    <t>67813919136755</t>
  </si>
  <si>
    <t>LIVING PROOF PHD HEALTHY HAIR PERFECTOR  118 ML</t>
  </si>
  <si>
    <t>68140445138929</t>
  </si>
  <si>
    <t>LIVING PROOF PHD PERFECT HAIR DAY CONDITIONER 236 ML</t>
  </si>
  <si>
    <t>68312678168997</t>
  </si>
  <si>
    <t xml:space="preserve">LIVING PROOF PHD PERFECT HAIR DAY DRY SHAMPOO 5.5 OZ 184 ML </t>
  </si>
  <si>
    <t>68571715465179</t>
  </si>
  <si>
    <t>LIVING PROOF PHD PERFECT HAIR DAY SHAMPOO 1 L</t>
  </si>
  <si>
    <t>68634903810519</t>
  </si>
  <si>
    <t>LIVING PROOF PHD PERFECT HAIR DAY SHAMPOO 236 ML</t>
  </si>
  <si>
    <t>68813060897933</t>
  </si>
  <si>
    <t>LIVING PROOF PHD PERFECT HAIR DAY WEIGHTLESS MASK 200 ML</t>
  </si>
  <si>
    <t>68813070743516</t>
  </si>
  <si>
    <t>LIVING PROOF PHD PERFECT HEAT STYLING SPRAY 183 ML</t>
  </si>
  <si>
    <t>69334309624167</t>
  </si>
  <si>
    <t>LIVING PROOF RESTORE REPAIR MASK 200 ML</t>
  </si>
  <si>
    <t>69540402827779</t>
  </si>
  <si>
    <t>LIVING PROOF RESTORE SHAMPOO 1 L</t>
  </si>
  <si>
    <t>69617483457118</t>
  </si>
  <si>
    <t>LIVING PROOF STYLE LAB - AMP^2 INSTANT TEXTURE VOLUMIZER 2.0 OZ</t>
  </si>
  <si>
    <t>69867831408631</t>
  </si>
  <si>
    <t>MOROCCANOIL COLOR CARE BLONDE PERFECTING PURPLE SHAMPOO 200 ML</t>
  </si>
  <si>
    <t>70594271570007</t>
  </si>
  <si>
    <t xml:space="preserve">MOROCCANOIL CURL - TRIO SHAMPOO 250 ML + CONDITIONER 250 ML + TRATAMIENTO 25 ML </t>
  </si>
  <si>
    <t>70622007736648</t>
  </si>
  <si>
    <t>MOROCCANOIL CURL SHAMPOO  250 ML</t>
  </si>
  <si>
    <t>70688004231209</t>
  </si>
  <si>
    <t>MOROCCANOIL FRIZZ CONTROL INTENSE SMOOTHING SERUM 50 ML</t>
  </si>
  <si>
    <t>70733403934285</t>
  </si>
  <si>
    <t>MOROCCANOIL HYDRATION CONDITIONER 250 ML</t>
  </si>
  <si>
    <t>71077762665868</t>
  </si>
  <si>
    <t>MOROCCANOIL HYDRATION DUO SHAMPOO 250 ML + WEIGHTLESS HYDRATING MASK 250 ML</t>
  </si>
  <si>
    <t>71120752266576</t>
  </si>
  <si>
    <t>MOROCCANOIL HYDRATION INTENSE HYDRATION MASK 500 ML</t>
  </si>
  <si>
    <t>71267451861810</t>
  </si>
  <si>
    <t>MOROCCANOIL HYDRATION SHAMPOO 1 LT</t>
  </si>
  <si>
    <t>71535625182338</t>
  </si>
  <si>
    <t>MOROCCANOIL HYDRATION TRIO SHAMPOO 250 ML + CONDITIONER 250 ML  + INTENSE MASK 250 ML</t>
  </si>
  <si>
    <t>71665471231346</t>
  </si>
  <si>
    <t>MOROCCANOIL LUMINOUS HAIRSPRAY MEDIUM 330 ML</t>
  </si>
  <si>
    <t>71950290757675</t>
  </si>
  <si>
    <t>MOROCCANOIL LUMINOUS HAIRSPRAY STRONG 330 ML</t>
  </si>
  <si>
    <t>72185279565607</t>
  </si>
  <si>
    <t>MOROCCANOIL NECESER MARCHESA BAG KIT</t>
  </si>
  <si>
    <t>72190986416055</t>
  </si>
  <si>
    <t>MOROCCANOIL Pack Mini Cepillo Plano + Tratamiento Ligth 50 ml</t>
  </si>
  <si>
    <t>72191265403141</t>
  </si>
  <si>
    <t>MOROCCANOIL REPAIR - Dúo Shampoo 1L + Conditioner 1L</t>
  </si>
  <si>
    <t>72191754277154</t>
  </si>
  <si>
    <t>MOROCCANOIL REPAIR CONDITIONER 1 LT</t>
  </si>
  <si>
    <t>72314510612440</t>
  </si>
  <si>
    <t>MOROCCANOIL REPAIR PACK SHAMPOO 250ML + COND 250ML + MINI TRATA. 25ML + MARCHESA BAG</t>
  </si>
  <si>
    <t>72338318279919</t>
  </si>
  <si>
    <t>MOROCCANOIL REPAIR SHAMPOO 1 LT</t>
  </si>
  <si>
    <t>72666903382734</t>
  </si>
  <si>
    <t>MOROCCANOIL TRATAMIENTO 100 ML</t>
  </si>
  <si>
    <t>72684765271512</t>
  </si>
  <si>
    <t>MOROCCANOIL VOLUME -  LOCION VOLUMINIZADORA 100 ML</t>
  </si>
  <si>
    <t>7290011521028</t>
  </si>
  <si>
    <t xml:space="preserve">MOROCCANOIL VOLUME - DUO SHAMPOO 250 ML + CONDITIONER 250 ML </t>
  </si>
  <si>
    <t>7290011521059</t>
  </si>
  <si>
    <t>MOROCCANOIL VOLUME CONDITIONER 250 ML</t>
  </si>
  <si>
    <t>7290011521073</t>
  </si>
  <si>
    <t>MOROCCANOIL VOLUME SHAMPOO 250 ML</t>
  </si>
  <si>
    <t>7290011521127</t>
  </si>
  <si>
    <t>OLAPLEX DUO N°4 250 ML Y N°5 250 ML</t>
  </si>
  <si>
    <t>7290011521424</t>
  </si>
  <si>
    <t>OLAPLEX KIT REPARACION - N° 0, N°3, N°4, N° 5 , N° 6 , N°7</t>
  </si>
  <si>
    <t>7290011521653</t>
  </si>
  <si>
    <t>OLAPLEX N°0 INTENSIVE BOND BUILDING TREATMENT 155 ML</t>
  </si>
  <si>
    <t>7290011521677</t>
  </si>
  <si>
    <t>OLAPLEX N°3 HAIR PERFECTOR  100 ML</t>
  </si>
  <si>
    <t>7290011521837</t>
  </si>
  <si>
    <t>OLAPLEX N°4C BOND CLARIFYNG SHAMPOO 250 ML</t>
  </si>
  <si>
    <t>7290015485241</t>
  </si>
  <si>
    <t>OLAPLEX N°4D CLEAN VOLUME DETOX DRY SHAMPOO 250 ML</t>
  </si>
  <si>
    <t>7290015877657</t>
  </si>
  <si>
    <t>OLAPLEX N°9 BOND PROTECTOR 90 ML</t>
  </si>
  <si>
    <t>7290116974132</t>
  </si>
  <si>
    <t>OPI Dúo Nail &amp; Cuticle Oil 14.8 ml + OPI PRO Protective hand, nail &amp; cuticle cream 50 ml</t>
  </si>
  <si>
    <t>73210844868557</t>
  </si>
  <si>
    <t xml:space="preserve">OPI GEL COLOR BIG APPLE RED </t>
  </si>
  <si>
    <t>73367542793219</t>
  </si>
  <si>
    <t xml:space="preserve">OPI GEL COLOR DESTINED TO BE A LEGEND </t>
  </si>
  <si>
    <t>73461253238590</t>
  </si>
  <si>
    <t>OPI GEL COLOR DUO BASE + BRILLO</t>
  </si>
  <si>
    <t>73461595269098</t>
  </si>
  <si>
    <t xml:space="preserve">OPI IS DULCE DE LECHE </t>
  </si>
  <si>
    <t>73808225613567</t>
  </si>
  <si>
    <t xml:space="preserve">OPI IS FUNNY BUNNY </t>
  </si>
  <si>
    <t>73860824826760</t>
  </si>
  <si>
    <t>OPI LACA LINCOLN PARK AFTER DARK</t>
  </si>
  <si>
    <t>738678001158</t>
  </si>
  <si>
    <t>OPI LACA OH YOU SING. DANCE ACT AND PRODUCE</t>
  </si>
  <si>
    <t>738678001585</t>
  </si>
  <si>
    <t>OPI LACA RUSSIAN NAVY</t>
  </si>
  <si>
    <t>738678002438</t>
  </si>
  <si>
    <t>OPI LACA SUZI WITHOUT A PADDLE</t>
  </si>
  <si>
    <t>738678002674</t>
  </si>
  <si>
    <t>OPI NAIL ENVY BIG APPLE RED 15ML</t>
  </si>
  <si>
    <t>738678002728</t>
  </si>
  <si>
    <t xml:space="preserve">OPI NAIL ENVY DOUBLE NUDE 15 ML </t>
  </si>
  <si>
    <t>738678002759</t>
  </si>
  <si>
    <t>OPI NAIL ENVY STRENGTHENER FORTIFIANT TRI-PLEX (ORIGINALE EU)</t>
  </si>
  <si>
    <t>73971061254063</t>
  </si>
  <si>
    <t>OPI NS BOTANICAL BASE COAT 15 ML</t>
  </si>
  <si>
    <t>74196664323513</t>
  </si>
  <si>
    <t>OPI NS DÚO BIG BLOOM ENERGY + BRILLO</t>
  </si>
  <si>
    <t>74255654327365</t>
  </si>
  <si>
    <t>OPI NS FOR WHAT IT’S EARTH</t>
  </si>
  <si>
    <t>743877066662</t>
  </si>
  <si>
    <t>OPI NS KNOWLEDGE IS FLOWER</t>
  </si>
  <si>
    <t>743877066945</t>
  </si>
  <si>
    <t>OPI PACK NL HOLIDAY 4 UNID - Mini Mani Gift Set</t>
  </si>
  <si>
    <t>74475556388844</t>
  </si>
  <si>
    <t>OPI PRO SPA INTENSIVE CALLUS SMOOTHING BALM 4 OZ</t>
  </si>
  <si>
    <t>74489986697979</t>
  </si>
  <si>
    <t>OPI PRO SPA MICRO EXFOLIATING HAND POLISH 8 OZ</t>
  </si>
  <si>
    <t>74578703833135</t>
  </si>
  <si>
    <t>OPI PRO SPA SOOTHING SOAK 3.9 OZ</t>
  </si>
  <si>
    <t>74742539246829</t>
  </si>
  <si>
    <t>OPI RAPIDRY ASAPINK 9 ML</t>
  </si>
  <si>
    <t>74804838156864</t>
  </si>
  <si>
    <t>OPI RAPIDRY CAN'T HARDLY WAIT 9 ML</t>
  </si>
  <si>
    <t>74804840974639</t>
  </si>
  <si>
    <t>OPI RAPIDRY SKIP A BEET 9 ML</t>
  </si>
  <si>
    <t>74810780026036</t>
  </si>
  <si>
    <t>REDKEN ACIDIC BONDING CONCENTRATE - Trio Shampoo 300 ml + Conditioner 300 ml + 5-Min Liquid Mask 250</t>
  </si>
  <si>
    <t>7702058379338</t>
  </si>
  <si>
    <t>REDKEN ACIDIC BONDING CONCENTRATE CONDITIONER 300 ML</t>
  </si>
  <si>
    <t>8005610426730</t>
  </si>
  <si>
    <t>REDKEN ACIDIC BONDING CONCENTRATE INTENSIVE PRE TREATMENT 150 ML</t>
  </si>
  <si>
    <t>8005610578910</t>
  </si>
  <si>
    <t>REDKEN ACIDIC BONDING LEAVE IN TRATAMIENTO 150 ML</t>
  </si>
  <si>
    <t>8005610593999</t>
  </si>
  <si>
    <t>REDKEN ACIDIC COLOR GLOSS  - Dúo Shampoo + Conditioner  300 ml</t>
  </si>
  <si>
    <t>8005610594019</t>
  </si>
  <si>
    <t>REDKEN ACIDIC COLOR GLOSS CONDITIONER 1L</t>
  </si>
  <si>
    <t>8005610643885</t>
  </si>
  <si>
    <t>REDKEN ACIDIC PROTEIN AMINO CONCENTRATE 10X10 ML</t>
  </si>
  <si>
    <t>8022297048192</t>
  </si>
  <si>
    <t xml:space="preserve">REDKEN ALL SOFT - Dúo  Shampoo 1L + Color Extend Magnetics Conditioner 1L </t>
  </si>
  <si>
    <t>8022297056715</t>
  </si>
  <si>
    <t>REDKEN ALL SOFT CONDITIONER 500 ML</t>
  </si>
  <si>
    <t>8022297056746</t>
  </si>
  <si>
    <t>REDKEN ALL SOFT HEAVY CREAM MASK 250 ML</t>
  </si>
  <si>
    <t>8022297056753</t>
  </si>
  <si>
    <t>REDKEN ALL SOFT MEGA CURLS HYDRAMELL TRATAMIENTO 150 ML</t>
  </si>
  <si>
    <t>8022297056760</t>
  </si>
  <si>
    <t>REDKEN ALL SOFT MEGA CURLS SHAMPOO 1L</t>
  </si>
  <si>
    <t>8022297056791</t>
  </si>
  <si>
    <t>REDKEN AMINO MINT - Dúo Shampoo Amino Mint 300 ml + All Soft Conditioner 300 ml</t>
  </si>
  <si>
    <t>8022297056852</t>
  </si>
  <si>
    <t>REDKEN AMINO MINT DUO SHAMPOO 300 ML +  ACIDIC BONDING CONDITIONER 300 ML</t>
  </si>
  <si>
    <t>8022297056906</t>
  </si>
  <si>
    <t>REDKEN COLOR GELS OIL 04NW 60ML</t>
  </si>
  <si>
    <t>8022297056968</t>
  </si>
  <si>
    <t>REDKEN COLOR GELS OIL 5GB 60ML</t>
  </si>
  <si>
    <t>8022297057033</t>
  </si>
  <si>
    <t>REDKEN COLOR GELS OIL 8NA 60ML</t>
  </si>
  <si>
    <t>8022297057095</t>
  </si>
  <si>
    <t>REDKEN EXTREME LENGTH Trío Fortalecedor de largos - Shampoo 300 ml + Conditioner 500 ml + Sealer 150</t>
  </si>
  <si>
    <t>8022297057125</t>
  </si>
  <si>
    <t xml:space="preserve">REDKEN FRIZZ DISMISS ANTI STATIC OIL MIST 125 ML </t>
  </si>
  <si>
    <t>8022297057156</t>
  </si>
  <si>
    <t>REDKEN FRIZZ DISMISS DUO SHAMPOO 300 ML + CONDITIONER 300 ML</t>
  </si>
  <si>
    <t>8022297064260</t>
  </si>
  <si>
    <t>REDKEN MONEDERO</t>
  </si>
  <si>
    <t>8022297064291</t>
  </si>
  <si>
    <t>REDKEN MONEDERO CON TIRAS</t>
  </si>
  <si>
    <t>8022297064307</t>
  </si>
  <si>
    <t>REDKEN NECESER MADRES 2025</t>
  </si>
  <si>
    <t>8022297064956</t>
  </si>
  <si>
    <t>REDKEN SCALP RELIEF DANDRUF SHAMPOO 250 ML</t>
  </si>
  <si>
    <t>8022297064994</t>
  </si>
  <si>
    <t>REDKEN SHADES EQ GLOSS 06NA GRANITE 60 ML</t>
  </si>
  <si>
    <t>8022297111278</t>
  </si>
  <si>
    <t>REDKEN SHADES EQ GLOSS 07G 60ML</t>
  </si>
  <si>
    <t>8022297111292</t>
  </si>
  <si>
    <t xml:space="preserve">REUZEL BLUE STRONG HOLD WATER SOLUBLE 1.3 OZ </t>
  </si>
  <si>
    <t>8022297141428</t>
  </si>
  <si>
    <t>REUZEL FIBER POMADE 4 OZ</t>
  </si>
  <si>
    <t>8022297147901</t>
  </si>
  <si>
    <t>REVLON EQUAVE KIDS DUO GREEN SHAMPOO 300 ML + COND 200 ML</t>
  </si>
  <si>
    <t>8022297157542</t>
  </si>
  <si>
    <t>REVLON ONE DUO ALL IN ONE TREATMEN 150ML + HAIR MASK 300ML</t>
  </si>
  <si>
    <t>8022297175379</t>
  </si>
  <si>
    <t>SEBASTIAN CELLOPHANES CARAMEL BROWN 300ML</t>
  </si>
  <si>
    <t>8022297175386</t>
  </si>
  <si>
    <t>SEBASTIAN DARK OIL CONDITIONER 250 ML</t>
  </si>
  <si>
    <t>815305024497</t>
  </si>
  <si>
    <t xml:space="preserve">SEBASTIAN HYDRE DUO SHAMPOO 1L + CONDITIONER 1L </t>
  </si>
  <si>
    <t>815305029713</t>
  </si>
  <si>
    <t>SEBASTIAN HYDRE SHAMPOO 250ML</t>
  </si>
  <si>
    <t>840216930315</t>
  </si>
  <si>
    <t>SEBASTIAN HYDRE TRATAMIENTO 150ML</t>
  </si>
  <si>
    <t>840216930360</t>
  </si>
  <si>
    <t>SEBASTIAN PENETRAITT MASQUE 150ML</t>
  </si>
  <si>
    <t>840216930575</t>
  </si>
  <si>
    <t>SEBASTIAN PENETRAITT MASQUE 500ML</t>
  </si>
  <si>
    <t>840216930605</t>
  </si>
  <si>
    <t>SEBASTIAN PENETRAITT SHAMPOO 1 LT</t>
  </si>
  <si>
    <t>840216931053</t>
  </si>
  <si>
    <t>SEBASTIAN PENETRAITT SHAMPOO 250ML</t>
  </si>
  <si>
    <t>840216931084</t>
  </si>
  <si>
    <t>SEBASTIAN RE-SHAPER 400ML</t>
  </si>
  <si>
    <t>840216933477</t>
  </si>
  <si>
    <t>SEBASTIAN TAMING EXILIR 140ML</t>
  </si>
  <si>
    <t>840216933521</t>
  </si>
  <si>
    <t>SEBASTIAN TWISTED CONDITIONER 250ML</t>
  </si>
  <si>
    <t>840216934450</t>
  </si>
  <si>
    <t>SEBASTIAN TWISTED DUO SHAMPOO + CONDITIONER 250 ML</t>
  </si>
  <si>
    <t>840216934771</t>
  </si>
  <si>
    <t>SEBASTIAN TWISTED SHAMPOO 250ML</t>
  </si>
  <si>
    <t>840216935617</t>
  </si>
  <si>
    <t>SEBASTIAN TWISTED TRATAMIENTO 150 ML</t>
  </si>
  <si>
    <t>8432225096568</t>
  </si>
  <si>
    <t xml:space="preserve">SEBASTIAN TWISTED TRIO SHAMPOO 250ML + COND. 250 ML + MASK 150 ML </t>
  </si>
  <si>
    <t>8432225111445</t>
  </si>
  <si>
    <t>TIGI BED HEAD AFTER PARTY  MINI 50 ML</t>
  </si>
  <si>
    <t>8432225113319</t>
  </si>
  <si>
    <t>TIGI BED HEAD CONTROL FREAK 255 ML</t>
  </si>
  <si>
    <t>8432225129914</t>
  </si>
  <si>
    <t>TIGI BED HEAD FOR MEN LION TAMER 100 ML 3.30 OZ</t>
  </si>
  <si>
    <t>8432225137025</t>
  </si>
  <si>
    <t>TIGI BED HEAD HEADRUSH SHINE 200 ML</t>
  </si>
  <si>
    <t>8432225137049</t>
  </si>
  <si>
    <t>TIGI BED HEAD MANIPULATOR STYLING 57 G</t>
  </si>
  <si>
    <t>8432225137056</t>
  </si>
  <si>
    <t>TIGI BED HEAD RECOVERY SHAMPOO  400 ML</t>
  </si>
  <si>
    <t>850020289899</t>
  </si>
  <si>
    <t>TIGI BED HEAD RESURRECTION CONDITIONER 400 ML</t>
  </si>
  <si>
    <t>852578006751</t>
  </si>
  <si>
    <t>TIGI BED HEAD RESURRECTION CONDITIONER 750 ML</t>
  </si>
  <si>
    <t>852968008303</t>
  </si>
  <si>
    <t>TIGI BED HEAD RESURRECTION SHAMPOO 400 ML</t>
  </si>
  <si>
    <t>859764003709</t>
  </si>
  <si>
    <t>TIGI BED HEAD SMALL TALK 240 ML</t>
  </si>
  <si>
    <t>884486002082</t>
  </si>
  <si>
    <t>TIGI BED HEAD SUPERSTAR QUEEN FOR A DAY 10.5 OZ 311 ML</t>
  </si>
  <si>
    <t>884486005809</t>
  </si>
  <si>
    <t>WELLA COLOR MOTION  TRIO  SHAMPOO 200 ML + MASK  150 ML + COND. 200 ML</t>
  </si>
  <si>
    <t>884486337665</t>
  </si>
  <si>
    <t>WELLA EIMI PEARL STYLER 100 ML - GEL FIJACION FUERTE</t>
  </si>
  <si>
    <t>884486389305</t>
  </si>
  <si>
    <t>WELLA FUSION TRIO SHAMPOO 250 ML + MASK 150 ML + OIL REFLECTIONS 100 ML</t>
  </si>
  <si>
    <t>P0000000000076</t>
  </si>
  <si>
    <t>WELLA INVIGO NUTRI ENRICH DÚO SHAMPOO 1L + CONDITIONER 1L</t>
  </si>
  <si>
    <t>P0000000000077</t>
  </si>
  <si>
    <t>WELLA INVIGO NUTRIENRICH SHAMPOO 250 ML</t>
  </si>
  <si>
    <t>P0000000000082</t>
  </si>
  <si>
    <t>WELLA NUTRICURLS CURLS SHAMPOO 250 ML</t>
  </si>
  <si>
    <t>P0000000000316</t>
  </si>
  <si>
    <t>WELLA OIL REFLECTION  MASK 150 ML</t>
  </si>
  <si>
    <t>P0000000000322</t>
  </si>
  <si>
    <t>WELLA OIL REFLECTION LUMINOUS OIL 100 ML</t>
  </si>
  <si>
    <t>P0000000000347</t>
  </si>
  <si>
    <t>WELLA OIL REFLECTION SHAMPOO 250 ML</t>
  </si>
  <si>
    <t>P0000000000350</t>
  </si>
  <si>
    <t>WELLA ULTIMATE REPAIR SHAMPOO 1L</t>
  </si>
  <si>
    <t>P0000000000375</t>
  </si>
  <si>
    <t>Tipo de Producto</t>
  </si>
  <si>
    <t>PRODUCTO</t>
  </si>
  <si>
    <t>Producto</t>
  </si>
  <si>
    <t>Código Barras</t>
  </si>
  <si>
    <t>Sucursal</t>
  </si>
  <si>
    <t>INGENIEROS</t>
  </si>
  <si>
    <t>Stock Inicial</t>
  </si>
  <si>
    <t>Stock Final</t>
  </si>
  <si>
    <t>Fecha</t>
  </si>
  <si>
    <t>Usuario</t>
  </si>
  <si>
    <t>Entrada</t>
  </si>
  <si>
    <t>Salida</t>
  </si>
  <si>
    <t>Stock</t>
  </si>
  <si>
    <t>Costo Neto Unitario</t>
  </si>
  <si>
    <t>Movimiento de entrada</t>
  </si>
  <si>
    <t>Movimiento de salida</t>
  </si>
  <si>
    <t>Tipo de Traslado</t>
  </si>
  <si>
    <t>Sucursal Destino</t>
  </si>
  <si>
    <t>Recepcionada Destino</t>
  </si>
  <si>
    <t>MILAGROS BENITEZ</t>
  </si>
  <si>
    <t>BOLETA - T 30224 Ingreso por venta anulada Nº 31128</t>
  </si>
  <si>
    <t>BOLETA - T Nº 30327</t>
  </si>
  <si>
    <t>MILAGROS INES HERRERA VICTORIO</t>
  </si>
  <si>
    <t>Factura Nº F001-0002442</t>
  </si>
  <si>
    <t>BOLETA - T Nº 30332</t>
  </si>
  <si>
    <t>BLANCHE LIZARRAGA</t>
  </si>
  <si>
    <t>BOLETA - T Nº 30334</t>
  </si>
  <si>
    <t>BOLETA - T Nº 30366</t>
  </si>
  <si>
    <t>BOLETA - T Nº 30408</t>
  </si>
  <si>
    <t>BOLETA - T Nº 30409</t>
  </si>
  <si>
    <t>BOLETA - T Nº 30411</t>
  </si>
  <si>
    <t>VALERIA NARBONA</t>
  </si>
  <si>
    <t>BOLETA - T Nº 30428</t>
  </si>
  <si>
    <t>Factura Nº F001-0002568</t>
  </si>
  <si>
    <t>BOLETA - T Nº 30459</t>
  </si>
  <si>
    <t>BOLETA - T Nº 30463</t>
  </si>
  <si>
    <t>BOLETA - T Nº 30476</t>
  </si>
  <si>
    <t>BOLETA - T Nº 30485</t>
  </si>
  <si>
    <t>BOLETA - T Nº 30499</t>
  </si>
  <si>
    <t>BOLETA - T Nº 30507</t>
  </si>
  <si>
    <t>BOLETA - T Nº 30512</t>
  </si>
  <si>
    <t>BOLETA - T Nº 30523</t>
  </si>
  <si>
    <t>BOLETA - T Nº 30547</t>
  </si>
  <si>
    <t>BOLETA - T Nº 30549</t>
  </si>
  <si>
    <t>BOLETA - T Nº 30570</t>
  </si>
  <si>
    <t>BOLETA - T Nº 30587</t>
  </si>
  <si>
    <t>CLAUDIA CASTRO</t>
  </si>
  <si>
    <t>BOLETA - T Nº 30599</t>
  </si>
  <si>
    <t>BOLETA - T Nº 30601</t>
  </si>
  <si>
    <t>BOLETA - T Nº 30602</t>
  </si>
  <si>
    <t>BOLETA - T Nº 30603</t>
  </si>
  <si>
    <t>BOLETA - T Nº 30605</t>
  </si>
  <si>
    <t>BOLETA - T Nº 30608</t>
  </si>
  <si>
    <t>BOLETA - T Nº 30613</t>
  </si>
  <si>
    <t>BOLETA - T Nº 30637</t>
  </si>
  <si>
    <t>BOLETA - T Nº 30642</t>
  </si>
  <si>
    <t>BOLETA - T Nº 30644</t>
  </si>
  <si>
    <t>BOLETA - T Nº 30660</t>
  </si>
  <si>
    <t>Factura Nº F001-0002736</t>
  </si>
  <si>
    <t>Documento anulado BOLETA - T 30678</t>
  </si>
  <si>
    <t>Factura Nº F001-0002629</t>
  </si>
  <si>
    <t>BOLETA - T Nº 30681</t>
  </si>
  <si>
    <t>BOLETA - T Nº 30703</t>
  </si>
  <si>
    <t>BOLETA - T Nº 30717</t>
  </si>
  <si>
    <t>BOLETA - T Nº 30725</t>
  </si>
  <si>
    <t>BOLETA - T Nº 30739</t>
  </si>
  <si>
    <t>BOLETA - T Nº 30744</t>
  </si>
  <si>
    <t>BOLETA - T Nº 30745</t>
  </si>
  <si>
    <t>BOLETA - T Nº 30749</t>
  </si>
  <si>
    <t>BOLETA - T Nº 30763</t>
  </si>
  <si>
    <t>BOLETA - T Nº 30771</t>
  </si>
  <si>
    <t>BOLETA - T Nº 30772</t>
  </si>
  <si>
    <t>BOLETA - T Nº 30789</t>
  </si>
  <si>
    <t>BOLETA - T Nº 30794</t>
  </si>
  <si>
    <t>BOLETA - T Nº 30797</t>
  </si>
  <si>
    <t>BOLETA - T Nº 30798</t>
  </si>
  <si>
    <t>BOLETA - T Nº 30812</t>
  </si>
  <si>
    <t>BOLETA - T Nº 30814</t>
  </si>
  <si>
    <t>BOLETA - T Nº 30844</t>
  </si>
  <si>
    <t>Documento anulado BOLETA - T 30851</t>
  </si>
  <si>
    <t>BOLETA - T Nº 30874</t>
  </si>
  <si>
    <t>BOLETA - T 30678 Ingreso por venta anulada Nº 31592</t>
  </si>
  <si>
    <t>BOLETA - T 30851 Ingreso por venta anulada Nº 31773</t>
  </si>
  <si>
    <t>BOLETA - T Nº 30911</t>
  </si>
  <si>
    <t>BOLETA - T Nº 30922</t>
  </si>
  <si>
    <t>BOLETA - T Nº 30932</t>
  </si>
  <si>
    <t>BOLETA - T Nº 30937</t>
  </si>
  <si>
    <t>MARIA ISABEL LULO</t>
  </si>
  <si>
    <t>BOLETA - T Nº 30947</t>
  </si>
  <si>
    <t>BOLETA - T Nº 30989</t>
  </si>
  <si>
    <t>BOLETA - T Nº 30996</t>
  </si>
  <si>
    <t>BOLETA - T Nº 31014</t>
  </si>
  <si>
    <t>BOLETA - T Nº 31024</t>
  </si>
  <si>
    <t>Factura Nº F001-0002805</t>
  </si>
  <si>
    <t>BOLETA - T Nº 31035</t>
  </si>
  <si>
    <t>JOAQUIN QUISPE</t>
  </si>
  <si>
    <t>Consumo Nº 4084</t>
  </si>
  <si>
    <t>BOLETA - T Nº 31048</t>
  </si>
  <si>
    <t>BOLETA - T Nº 31053</t>
  </si>
  <si>
    <t>BOLETA - T Nº 31062</t>
  </si>
  <si>
    <t>BOLETA - T Nº 31068</t>
  </si>
  <si>
    <t>BOLETA - T Nº 31083</t>
  </si>
  <si>
    <t>BOLETA - T Nº 31090</t>
  </si>
  <si>
    <t>BOLETA - T Nº 31102</t>
  </si>
  <si>
    <t>BOLETA - T Nº 31112</t>
  </si>
  <si>
    <t>BOLETA - T Nº 31115</t>
  </si>
  <si>
    <t>BOLETA - T Nº 31122</t>
  </si>
  <si>
    <t>BOLETA - T Nº 31123</t>
  </si>
  <si>
    <t>BOLETA - T Nº 31147</t>
  </si>
  <si>
    <t>BOLETA - T Nº 31151</t>
  </si>
  <si>
    <t>BOLETA - T Nº 31175</t>
  </si>
  <si>
    <t>BOLETA - T Nº 31186</t>
  </si>
  <si>
    <t>BOLETA - T Nº 31217</t>
  </si>
  <si>
    <t>BOLETA - T Nº 31238</t>
  </si>
  <si>
    <t>BOLETA - T Nº 31245</t>
  </si>
  <si>
    <t>BOLETA - T Nº 31247</t>
  </si>
  <si>
    <t>BAOR K ACONDICIONADOR 300ML</t>
  </si>
  <si>
    <t>BOLETA - T Nº 30552</t>
  </si>
  <si>
    <t>BOLETA - T Nº 30653</t>
  </si>
  <si>
    <t>BOLETA - T Nº 30702</t>
  </si>
  <si>
    <t>BOLETA - T Nº 30846</t>
  </si>
  <si>
    <t>BAOR K MASCARILLA 300ML</t>
  </si>
  <si>
    <t>Factura Nº F001-0002503</t>
  </si>
  <si>
    <t>BOLETA - T Nº 30652</t>
  </si>
  <si>
    <t>BOLETA - T Nº 30890</t>
  </si>
  <si>
    <t>BOLETA - T Nº 30940</t>
  </si>
  <si>
    <t>Factura Nº F004-00506280</t>
  </si>
  <si>
    <t>BOLETA - T Nº 30319</t>
  </si>
  <si>
    <t>BOLETA - T Nº 30343</t>
  </si>
  <si>
    <t>Documento anulado BOLETA - T 30347</t>
  </si>
  <si>
    <t>BOLETA - T Nº 30349</t>
  </si>
  <si>
    <t>BOLETA - T Nº 30381</t>
  </si>
  <si>
    <t>BOLETA - T Nº 30395</t>
  </si>
  <si>
    <t>BOLETA - T Nº 30401</t>
  </si>
  <si>
    <t>BOLETA - T 30347 Ingreso por venta anulada Nº 31254</t>
  </si>
  <si>
    <t>Documento anulado BOLETA - T 30425</t>
  </si>
  <si>
    <t>BOLETA - T 30425 Ingreso por venta anulada Nº 31335</t>
  </si>
  <si>
    <t>BOLETA - T Nº 30445</t>
  </si>
  <si>
    <t>BOLETA - T Nº 30446</t>
  </si>
  <si>
    <t>BOLETA - T Nº 30470</t>
  </si>
  <si>
    <t>BOLETA - T Nº 30503</t>
  </si>
  <si>
    <t>BOLETA - T Nº 30505</t>
  </si>
  <si>
    <t>BOLETA - T Nº 30556</t>
  </si>
  <si>
    <t>BOLETA - T Nº 30741</t>
  </si>
  <si>
    <t>Documento anulado BOLETA - T 30752</t>
  </si>
  <si>
    <t>BOLETA - T Nº 30756</t>
  </si>
  <si>
    <t>BOLETA - T Nº 30774</t>
  </si>
  <si>
    <t>BOLETA - T 30752 Ingreso por venta anulada Nº 31668</t>
  </si>
  <si>
    <t>BOLETA - T Nº 30796</t>
  </si>
  <si>
    <t>BOLETA - T Nº 30810</t>
  </si>
  <si>
    <t>BOLETA - T Nº 30864</t>
  </si>
  <si>
    <t>BOLETA - T Nº 30869</t>
  </si>
  <si>
    <t>BOLETA - T Nº 30895</t>
  </si>
  <si>
    <t>BOLETA - T Nº 30900</t>
  </si>
  <si>
    <t>BOLETA - T Nº 30962</t>
  </si>
  <si>
    <t>BOLETA - T Nº 30976</t>
  </si>
  <si>
    <t>BOLETA - T Nº 31025</t>
  </si>
  <si>
    <t>MOSSI WEB</t>
  </si>
  <si>
    <t>Sin Documento Nº 3850</t>
  </si>
  <si>
    <t>BOLETA - T Nº 31232</t>
  </si>
  <si>
    <t>N°</t>
  </si>
  <si>
    <t>Factura Nº F931-3008</t>
  </si>
  <si>
    <t>BOLETA - T Nº 30680</t>
  </si>
  <si>
    <t>BOLETA - T Nº 30690</t>
  </si>
  <si>
    <t>BOLETA - T Nº 30767</t>
  </si>
  <si>
    <t>BOLETA - T Nº 30786</t>
  </si>
  <si>
    <t>TRASLADO INTERNO Nº 342</t>
  </si>
  <si>
    <t>Traslado entre establecimientos</t>
  </si>
  <si>
    <t>MOSSI AREQ</t>
  </si>
  <si>
    <t>No</t>
  </si>
  <si>
    <t>GUÍA DE REMISIÓN ELECTRÓNICA T Nº 3</t>
  </si>
  <si>
    <t>Venta</t>
  </si>
  <si>
    <t>BOLETA - T Nº 30942</t>
  </si>
  <si>
    <t>BOLETA - T Nº 30944</t>
  </si>
  <si>
    <t>BOLETA - T Nº 31020</t>
  </si>
  <si>
    <t>BOLETA - T Nº 31038</t>
  </si>
  <si>
    <t>BOLETA - T Nº 31051</t>
  </si>
  <si>
    <t>BOLETA - T Nº 31070</t>
  </si>
  <si>
    <t>BOLETA - T Nº 31074</t>
  </si>
  <si>
    <t>BOLETA - T Nº 31075</t>
  </si>
  <si>
    <t>BOLETA - T Nº 31108</t>
  </si>
  <si>
    <t>FACTURA - T Nº 489</t>
  </si>
  <si>
    <t>BOLETA - T Nº 31149</t>
  </si>
  <si>
    <t>BOLETA - T Nº 31160</t>
  </si>
  <si>
    <t>BOLETA - T Nº 31164</t>
  </si>
  <si>
    <t>BOLETA - T Nº 31165</t>
  </si>
  <si>
    <t>BOLETA - T Nº 31183</t>
  </si>
  <si>
    <t>BOLETA - T Nº 31205</t>
  </si>
  <si>
    <t>Factura Nº F001-00095663</t>
  </si>
  <si>
    <t>BOLETA - T Nº 30413</t>
  </si>
  <si>
    <t>Factura Nº F001-00096136</t>
  </si>
  <si>
    <t>BOLETA - T Nº 30457</t>
  </si>
  <si>
    <t>BOLETA - T Nº 30550</t>
  </si>
  <si>
    <t>BOLETA - T Nº 30576</t>
  </si>
  <si>
    <t>BOLETA - T Nº 30946</t>
  </si>
  <si>
    <t>BOLETA - T Nº 31052</t>
  </si>
  <si>
    <t>BOLETA - T Nº 30848</t>
  </si>
  <si>
    <t>BOLETA - T Nº 31015</t>
  </si>
  <si>
    <t>BOLETA - T Nº 31019</t>
  </si>
  <si>
    <t>BOLETA - T Nº 31021</t>
  </si>
  <si>
    <t>BOLETA - T Nº 31081</t>
  </si>
  <si>
    <t>BOLETA - T Nº 31103</t>
  </si>
  <si>
    <t>BOLETA - T Nº 31178</t>
  </si>
  <si>
    <t>BOLETA - T Nº 31201</t>
  </si>
  <si>
    <t>Factura Nº F931-3933</t>
  </si>
  <si>
    <t>Factura Nº F001-00094826</t>
  </si>
  <si>
    <t>Consumo Nº 4055</t>
  </si>
  <si>
    <t>BOLETA - T Nº 30410</t>
  </si>
  <si>
    <t>Consumo Nº 4057</t>
  </si>
  <si>
    <t>Factura Nº F001-00097315</t>
  </si>
  <si>
    <t>Consumo Nº 4062</t>
  </si>
  <si>
    <t>BOLETA - T Nº 30610</t>
  </si>
  <si>
    <t>BOLETA - T Nº 30611</t>
  </si>
  <si>
    <t>BOLETA - T Nº 30635</t>
  </si>
  <si>
    <t>BOLETA - T Nº 30665</t>
  </si>
  <si>
    <t>BOLETA - T Nº 30674</t>
  </si>
  <si>
    <t>BOLETA - T Nº 30896</t>
  </si>
  <si>
    <t>Factura Nº F001-00098170</t>
  </si>
  <si>
    <t>BOLETA - T Nº 30909</t>
  </si>
  <si>
    <t>BOLETA - T Nº 30979</t>
  </si>
  <si>
    <t>BOLETA - T Nº 31215</t>
  </si>
  <si>
    <t>Factura Nº F931-3063</t>
  </si>
  <si>
    <t>BOLETA - T Nº 30700</t>
  </si>
  <si>
    <t>BOLETA - T Nº 30728</t>
  </si>
  <si>
    <t>BOLETA - T Nº 30773</t>
  </si>
  <si>
    <t>BOLETA - T Nº 30805</t>
  </si>
  <si>
    <t>BOLETA - T Nº 30824</t>
  </si>
  <si>
    <t>Documento anulado BOLETA - T 30831</t>
  </si>
  <si>
    <t>BOLETA - T Nº 30832</t>
  </si>
  <si>
    <t>FACTURA - T Nº 486</t>
  </si>
  <si>
    <t>FACTURA - T Nº 487</t>
  </si>
  <si>
    <t>BOLETA - T Nº 30877</t>
  </si>
  <si>
    <t>BOLETA - T Nº 30883</t>
  </si>
  <si>
    <t>BOLETA - T 30831 Ingreso por venta anulada Nº 31753</t>
  </si>
  <si>
    <t>BOLETA - T Nº 30903</t>
  </si>
  <si>
    <t>BOLETA - T Nº 30906</t>
  </si>
  <si>
    <t>BOLETA - T Nº 30923</t>
  </si>
  <si>
    <t>BOLETA - T Nº 30943</t>
  </si>
  <si>
    <t>BOLETA - T Nº 30964</t>
  </si>
  <si>
    <t>BOLETA - T Nº 30984</t>
  </si>
  <si>
    <t>BOLETA - T Nº 31001</t>
  </si>
  <si>
    <t>BOLETA - T Nº 31011</t>
  </si>
  <si>
    <t>BOLETA - T Nº 31013</t>
  </si>
  <si>
    <t>BOLETA - T Nº 31017</t>
  </si>
  <si>
    <t>BOLETA - T Nº 31061</t>
  </si>
  <si>
    <t>BOLETA - T Nº 31069</t>
  </si>
  <si>
    <t>BOLETA - T Nº 31085</t>
  </si>
  <si>
    <t>BOLETA - T Nº 31099</t>
  </si>
  <si>
    <t>BOLETA - T Nº 31124</t>
  </si>
  <si>
    <t>Factura Nº F931-3875</t>
  </si>
  <si>
    <t>BOLETA - T Nº 31150</t>
  </si>
  <si>
    <t>BOLETA - T Nº 31182</t>
  </si>
  <si>
    <t>BOLETA - T Nº 31250</t>
  </si>
  <si>
    <t>BOLETA - T Nº 30904</t>
  </si>
  <si>
    <t>BOLETA - T Nº 31240</t>
  </si>
  <si>
    <t>BOLETA - T Nº 30693</t>
  </si>
  <si>
    <t>BOLETA - T Nº 30729</t>
  </si>
  <si>
    <t>BOLETA - T Nº 30779</t>
  </si>
  <si>
    <t>BOLETA - T Nº 30787</t>
  </si>
  <si>
    <t>BOLETA - T Nº 30908</t>
  </si>
  <si>
    <t>BOLETA - T Nº 30938</t>
  </si>
  <si>
    <t>BOLETA - T Nº 30954</t>
  </si>
  <si>
    <t>BOLETA - T Nº 31056</t>
  </si>
  <si>
    <t>BOLETA - T Nº 31077</t>
  </si>
  <si>
    <t>BOLETA - T Nº 31193</t>
  </si>
  <si>
    <t>BOLETA - T Nº 31242</t>
  </si>
  <si>
    <t>Factura Nº F002-316</t>
  </si>
  <si>
    <t>Factura Nº F001-00089239</t>
  </si>
  <si>
    <t>BOLETA - T Nº 30364</t>
  </si>
  <si>
    <t>Factura Nº F001-00089239,Factura Nº F002-316</t>
  </si>
  <si>
    <t>TRASLADO INTERNO Nº 340</t>
  </si>
  <si>
    <t>Sí</t>
  </si>
  <si>
    <t>Factura Nº F001-00095663,Factura Nº F002-316</t>
  </si>
  <si>
    <t>BOLETA - T Nº 30421</t>
  </si>
  <si>
    <t>BOLETA - T Nº 30490</t>
  </si>
  <si>
    <t>BOLETA - T Nº 30521</t>
  </si>
  <si>
    <t>BOLETA - T Nº 30571</t>
  </si>
  <si>
    <t>Documento anulado BOLETA - T 30875</t>
  </si>
  <si>
    <t>BOLETA - T Nº 30876</t>
  </si>
  <si>
    <t>BOLETA - T 30875 Ingreso por venta anulada Nº 31802</t>
  </si>
  <si>
    <t>Factura Nº F001-00098170,BOLETA - T 30875 Ingreso por venta anulada Nº 31802</t>
  </si>
  <si>
    <t>BOLETA - T Nº 30926</t>
  </si>
  <si>
    <t>BOLETA - T Nº 31091</t>
  </si>
  <si>
    <t>BOLETA - T Nº 31130</t>
  </si>
  <si>
    <t>BOLETA - T Nº 31214</t>
  </si>
  <si>
    <t>BOLETA - T Nº 30682</t>
  </si>
  <si>
    <t>BOLETA - T Nº 30735</t>
  </si>
  <si>
    <t>BOLETA - T Nº 30747</t>
  </si>
  <si>
    <t>BOLETA - T Nº 30768</t>
  </si>
  <si>
    <t>BOLETA - T Nº 30804</t>
  </si>
  <si>
    <t>BOLETA - T Nº 30815</t>
  </si>
  <si>
    <t>BOLETA - T Nº 30829</t>
  </si>
  <si>
    <t>BOLETA - T Nº 30924</t>
  </si>
  <si>
    <t>BOLETA - T Nº 31012</t>
  </si>
  <si>
    <t>BOLETA - T Nº 31162</t>
  </si>
  <si>
    <t>BOLETA - T Nº 31163</t>
  </si>
  <si>
    <t>BOLETA - T Nº 31180</t>
  </si>
  <si>
    <t>BOLETA - T Nº 31198</t>
  </si>
  <si>
    <t>BOLETA - T Nº 31252</t>
  </si>
  <si>
    <t>BOLETA - T Nº 31271</t>
  </si>
  <si>
    <t>WELLA FUSION CONDITIONER 200 ML</t>
  </si>
  <si>
    <t>BOLETA - T Nº 30986</t>
  </si>
  <si>
    <t>BOLETA - T Nº 31009</t>
  </si>
  <si>
    <t>BOLETA - T Nº 31080</t>
  </si>
  <si>
    <t>NOTA DE CRÉDITO T - BOLETA Nº 79</t>
  </si>
  <si>
    <t>BOLETA - T Nº 30837</t>
  </si>
  <si>
    <t>BOLETA - T Nº 30839</t>
  </si>
  <si>
    <t>BOLETA - T Nº 31133</t>
  </si>
  <si>
    <t>BOLETA - T Nº 31141</t>
  </si>
  <si>
    <t>BOLETA - T Nº 31229</t>
  </si>
  <si>
    <t>Factura Nº F002-318</t>
  </si>
  <si>
    <t>BOLETA - T Nº 30342</t>
  </si>
  <si>
    <t>BOLETA - T Nº 30461</t>
  </si>
  <si>
    <t>BOLETA - T Nº 30462</t>
  </si>
  <si>
    <t>BOLETA - T Nº 30482</t>
  </si>
  <si>
    <t>BOLETA - T Nº 30638</t>
  </si>
  <si>
    <t>BOLETA - T Nº 30766</t>
  </si>
  <si>
    <t>Factura Nº F002-313</t>
  </si>
  <si>
    <t>BOLETA - T Nº 30841</t>
  </si>
  <si>
    <t>BOLETA - T Nº 30988</t>
  </si>
  <si>
    <t>Documento anulado BOLETA - T 30994</t>
  </si>
  <si>
    <t>BOLETA - T Nº 30995</t>
  </si>
  <si>
    <t>BOLETA - T 30994 Ingreso por venta anulada Nº 31921</t>
  </si>
  <si>
    <t>BOLETA - T Nº 31027</t>
  </si>
  <si>
    <t>BOLETA - T Nº 31094</t>
  </si>
  <si>
    <t>BOLETA - T Nº 31148</t>
  </si>
  <si>
    <t>BOLETA - T Nº 31173</t>
  </si>
  <si>
    <t>Factura Nº F002-313,Factura Nº F001-00098170</t>
  </si>
  <si>
    <t>Consumo Nº 4086</t>
  </si>
  <si>
    <t>BOLETA - T Nº 30306</t>
  </si>
  <si>
    <t>BOLETA - T Nº 30346</t>
  </si>
  <si>
    <t>BOLETA - T Nº 30370</t>
  </si>
  <si>
    <t>BOLETA - T Nº 30372</t>
  </si>
  <si>
    <t>BOLETA - T Nº 30379</t>
  </si>
  <si>
    <t>BOLETA - T Nº 30391</t>
  </si>
  <si>
    <t>Factura Nº F001-00096466</t>
  </si>
  <si>
    <t>BOLETA - T Nº 30447</t>
  </si>
  <si>
    <t>BOLETA - T Nº 30502</t>
  </si>
  <si>
    <t>BOLETA - T Nº 30525</t>
  </si>
  <si>
    <t>BOLETA - T Nº 30533</t>
  </si>
  <si>
    <t>BOLETA - T Nº 30629</t>
  </si>
  <si>
    <t>BOLETA - T Nº 30655</t>
  </si>
  <si>
    <t>BOLETA - T Nº 30710</t>
  </si>
  <si>
    <t>BOLETA - T Nº 30746</t>
  </si>
  <si>
    <t>BOLETA - T Nº 30775</t>
  </si>
  <si>
    <t>BOLETA - T Nº 30811</t>
  </si>
  <si>
    <t>BOLETA - T Nº 30879</t>
  </si>
  <si>
    <t>BOLETA - T Nº 30910</t>
  </si>
  <si>
    <t>Documento anulado BOLETA - T 30961</t>
  </si>
  <si>
    <t>BOLETA - T 30961 Ingreso por venta anulada Nº 31888</t>
  </si>
  <si>
    <t>BOLETA - T Nº 31047</t>
  </si>
  <si>
    <t>BOLETA - T Nº 31079</t>
  </si>
  <si>
    <t>Factura Nº F001-00098371</t>
  </si>
  <si>
    <t>BOLETA - T Nº 31139</t>
  </si>
  <si>
    <t>BOLETA - T Nº 31156</t>
  </si>
  <si>
    <t>BOLETA - T Nº 31181</t>
  </si>
  <si>
    <t>BOLETA - T Nº 31185</t>
  </si>
  <si>
    <t>BOLETA - T Nº 31235</t>
  </si>
  <si>
    <t>BOLETA - T Nº 30442</t>
  </si>
  <si>
    <t>BOLETA - T Nº 30619</t>
  </si>
  <si>
    <t>Factura Nº F001-00097054</t>
  </si>
  <si>
    <t>BOLETA - T Nº 30318</t>
  </si>
  <si>
    <t>BOLETA - T Nº 30656</t>
  </si>
  <si>
    <t>BOLETA - T Nº 30694</t>
  </si>
  <si>
    <t>BOLETA - T Nº 30734</t>
  </si>
  <si>
    <t>BOLETA - T Nº 30901</t>
  </si>
  <si>
    <t>BOLETA - T Nº 30955</t>
  </si>
  <si>
    <t>BOLETA - T Nº 31010</t>
  </si>
  <si>
    <t>Factura Nº F001-00097054,Factura Nº F001-00098170</t>
  </si>
  <si>
    <t>BOLETA - T Nº 31050</t>
  </si>
  <si>
    <t>Factura Nº F001-00098607</t>
  </si>
  <si>
    <t>BOLETA - T Nº 31145</t>
  </si>
  <si>
    <t>BOLETA - T Nº 31166</t>
  </si>
  <si>
    <t>BOLETA - T Nº 31188</t>
  </si>
  <si>
    <t>BOLETA - T Nº 31208</t>
  </si>
  <si>
    <t>BOLETA - T Nº 31237</t>
  </si>
  <si>
    <t>Sin Documento Nº RECONTEO STOCK FISIC</t>
  </si>
  <si>
    <t>BOLETA - T Nº 30380</t>
  </si>
  <si>
    <t>Sin Documento Nº ERROR CONT STOCK FIS</t>
  </si>
  <si>
    <t>Factura Nº F004-00509808</t>
  </si>
  <si>
    <t>BOLETA - T Nº 30622</t>
  </si>
  <si>
    <t>BOLETA - T Nº 30769</t>
  </si>
  <si>
    <t>BOLETA - T Nº 30893</t>
  </si>
  <si>
    <t>BOLETA - T Nº 31137</t>
  </si>
  <si>
    <t>BOLETA - T Nº 31159</t>
  </si>
  <si>
    <t>BOLETA - T Nº 31176</t>
  </si>
  <si>
    <t>BOLETA - T Nº 31239</t>
  </si>
  <si>
    <t>BOLETA - T Nº 30806</t>
  </si>
  <si>
    <t>BOLETA - T Nº 30912</t>
  </si>
  <si>
    <t>BOLETA - T Nº 30917</t>
  </si>
  <si>
    <t>BOLETA - T Nº 31004</t>
  </si>
  <si>
    <t>BOLETA - T Nº 31026</t>
  </si>
  <si>
    <t>Consumo Nº 4082</t>
  </si>
  <si>
    <t>BOLETA - T Nº 31066</t>
  </si>
  <si>
    <t>BOLETA - T Nº 30338</t>
  </si>
  <si>
    <t>Consumo Nº 4066</t>
  </si>
  <si>
    <t>BOLETA - T Nº 30849</t>
  </si>
  <si>
    <t>Consumo Nº 4087</t>
  </si>
  <si>
    <t>Factura Nº F004-00491063</t>
  </si>
  <si>
    <t>BOLETA - T Nº 30377</t>
  </si>
  <si>
    <t>Factura Nº F004-00491063,BOLETA - T 30425 Ingreso por venta anulada Nº 31335</t>
  </si>
  <si>
    <t>BOLETA - T Nº 30562</t>
  </si>
  <si>
    <t>BOLETA - T Nº 30764</t>
  </si>
  <si>
    <t>Factura Nº F004-00492554</t>
  </si>
  <si>
    <t>BOLETA - T Nº 30422</t>
  </si>
  <si>
    <t>BOLETA - T Nº 30969</t>
  </si>
  <si>
    <t>BOLETA - T Nº 31219</t>
  </si>
  <si>
    <t>Factura Nº F012-00023813</t>
  </si>
  <si>
    <t>BOLETA - T Nº 30324</t>
  </si>
  <si>
    <t>BOLETA - T Nº 30492</t>
  </si>
  <si>
    <t>BOLETA - T Nº 30542</t>
  </si>
  <si>
    <t>BOLETA - T Nº 30696</t>
  </si>
  <si>
    <t>BOLETA - T Nº 30853</t>
  </si>
  <si>
    <t>Factura Nº F012-00024411</t>
  </si>
  <si>
    <t>BOLETA - T Nº 30862</t>
  </si>
  <si>
    <t>BOLETA - T Nº 30916</t>
  </si>
  <si>
    <t>BOLETA - T Nº 30936</t>
  </si>
  <si>
    <t>BOLETA - T Nº 31118</t>
  </si>
  <si>
    <t>Sin Documento Nº REG INV FISICO LB</t>
  </si>
  <si>
    <t>BOLETA - T Nº 31246</t>
  </si>
  <si>
    <t>TIGI BED HEAD RECOVERY ACONDICIONADOR 750ML</t>
  </si>
  <si>
    <t>Factura Nº F012-00023660</t>
  </si>
  <si>
    <t>BOLETA - T Nº 30484</t>
  </si>
  <si>
    <t>BOLETA - T Nº 30589</t>
  </si>
  <si>
    <t>BOLETA - T Nº 30648</t>
  </si>
  <si>
    <t>BOLETA - T Nº 31082</t>
  </si>
  <si>
    <t>BOLETA - T Nº 31195</t>
  </si>
  <si>
    <t>BOLETA - T Nº 31224</t>
  </si>
  <si>
    <t>Sin Documento Nº REG LBT SEGUN SF</t>
  </si>
  <si>
    <t>BOLETA - T Nº 31244</t>
  </si>
  <si>
    <t>Factura Nº F001-00094826,Factura Nº F001-00095663</t>
  </si>
  <si>
    <t>BOLETA - T Nº 30473</t>
  </si>
  <si>
    <t>BOLETA - T Nº 30544</t>
  </si>
  <si>
    <t>BOLETA - T Nº 30934</t>
  </si>
  <si>
    <t>ALFAPARF SUBLIME CELLULA MADRE BEAUTY AMPOLLAS CAJA 12 X 13 ML</t>
  </si>
  <si>
    <t>NOTA DE CRÉDITO T - BOLETA Nº 74</t>
  </si>
  <si>
    <t>BOLETA - T Nº 30333</t>
  </si>
  <si>
    <t>Factura Nº F001-00091153</t>
  </si>
  <si>
    <t>BOLETA - T Nº 30449</t>
  </si>
  <si>
    <t>Factura Nº F001-00092910</t>
  </si>
  <si>
    <t>BOLETA - T Nº 30460</t>
  </si>
  <si>
    <t>BOLETA - T Nº 30560</t>
  </si>
  <si>
    <t>BOLETA - T Nº 30568</t>
  </si>
  <si>
    <t>BOLETA - T Nº 30643</t>
  </si>
  <si>
    <t>BOLETA - T Nº 30842</t>
  </si>
  <si>
    <t>BOLETA - T Nº 30843</t>
  </si>
  <si>
    <t>BOLETA - T Nº 31031</t>
  </si>
  <si>
    <t>BOLETA - T Nº 31073</t>
  </si>
  <si>
    <t>BOLETA - T Nº 31120</t>
  </si>
  <si>
    <t>FACTURA - T Nº 490</t>
  </si>
  <si>
    <t>BAOR B SHAMPOO 500 ML</t>
  </si>
  <si>
    <t>Sin Documento Nº ERROR CONT INV FISI</t>
  </si>
  <si>
    <t>BOLETA - T Nº 30518</t>
  </si>
  <si>
    <t>BOLETA - T Nº 30558</t>
  </si>
  <si>
    <t>BOLETA - T Nº 30645</t>
  </si>
  <si>
    <t>BOLETA - T Nº 30708</t>
  </si>
  <si>
    <t>BOLETA - T Nº 30889</t>
  </si>
  <si>
    <t>BOLETA - T Nº 30945</t>
  </si>
  <si>
    <t>BOLETA - T Nº 30972</t>
  </si>
  <si>
    <t>Documento anulado BOLETA - T 31039</t>
  </si>
  <si>
    <t>Factura Nº F001-0002228</t>
  </si>
  <si>
    <t>FACTURA - T Nº 488</t>
  </si>
  <si>
    <t>BOLETA - T 31039 Ingreso por venta anulada Nº 31966</t>
  </si>
  <si>
    <t>BOLETA - T Nº 31063</t>
  </si>
  <si>
    <t>BAOR B ACONDICIONADOR 300 ml</t>
  </si>
  <si>
    <t>Sin Documento Nº sin dcto x reclasifi</t>
  </si>
  <si>
    <t>Factura Nº F001-0002016</t>
  </si>
  <si>
    <t>BOLETA - T Nº 31116</t>
  </si>
  <si>
    <t>Factura Nº F004-00500297</t>
  </si>
  <si>
    <t>BOLETA - T Nº 30427</t>
  </si>
  <si>
    <t>BOLETA - T Nº 30612</t>
  </si>
  <si>
    <t>BOLETA - T Nº 30651</t>
  </si>
  <si>
    <t>Factura Nº F004-00496612</t>
  </si>
  <si>
    <t>BOLETA - T Nº 30675</t>
  </si>
  <si>
    <t>BOLETA - T Nº 30780</t>
  </si>
  <si>
    <t>BOLETA - T Nº 30921</t>
  </si>
  <si>
    <t>BOLETA - T Nº 31249</t>
  </si>
  <si>
    <t>Factura Nº F004-00508368</t>
  </si>
  <si>
    <t>BOLETA - T Nº 30317</t>
  </si>
  <si>
    <t>BOLETA - T Nº 30400</t>
  </si>
  <si>
    <t>BOLETA - T Nº 30536</t>
  </si>
  <si>
    <t>BOLETA - T Nº 30683</t>
  </si>
  <si>
    <t>BOLETA - T Nº 30685</t>
  </si>
  <si>
    <t>BOLETA - T Nº 31138</t>
  </si>
  <si>
    <t>Factura Nº F002-0017098</t>
  </si>
  <si>
    <t>Consumo Nº 4060</t>
  </si>
  <si>
    <t>BOLETA - T 30102 Ingreso por venta anulada Nº 31003,Factura Nº F002-0017098</t>
  </si>
  <si>
    <t>TRASLADO INTERNO Nº 341</t>
  </si>
  <si>
    <t>Factura Nº F002-320</t>
  </si>
  <si>
    <t>Consumo Nº 4065</t>
  </si>
  <si>
    <t>BOLETA - T Nº 30818</t>
  </si>
  <si>
    <t>BOLETA - T Nº 30860</t>
  </si>
  <si>
    <t>Factura Nº F002-0016439</t>
  </si>
  <si>
    <t>BOLETA - T Nº 30865</t>
  </si>
  <si>
    <t>BOLETA - T Nº 30894</t>
  </si>
  <si>
    <t>Factura Nº F002-0017218</t>
  </si>
  <si>
    <t>Consumo Nº 4080</t>
  </si>
  <si>
    <t>BOLETA - T Nº 30992</t>
  </si>
  <si>
    <t>Factura Nº F002-0017241</t>
  </si>
  <si>
    <t>Factura Nº F002-0017263</t>
  </si>
  <si>
    <t>Factura Nº F012-00022977</t>
  </si>
  <si>
    <t>BOLETA - T Nº 30305</t>
  </si>
  <si>
    <t>BOLETA - T Nº 30325</t>
  </si>
  <si>
    <t>BOLETA - T Nº 30417</t>
  </si>
  <si>
    <t>BOLETA - T Nº 30647</t>
  </si>
  <si>
    <t>BOLETA - T Nº 30650</t>
  </si>
  <si>
    <t>BOLETA - T Nº 30861</t>
  </si>
  <si>
    <t>BOLETA - T Nº 30881</t>
  </si>
  <si>
    <t>BOLETA - T Nº 30920</t>
  </si>
  <si>
    <t>SEBASTIAN TRILLIANT 150 ML - PROTECTOR TERMICO</t>
  </si>
  <si>
    <t>Factura Nº FF07-00007486</t>
  </si>
  <si>
    <t>BOLETA - T Nº 30300</t>
  </si>
  <si>
    <t>BOLETA - T Nº 30316</t>
  </si>
  <si>
    <t>BOLETA - T Nº 30320</t>
  </si>
  <si>
    <t>BOLETA - T Nº 30519</t>
  </si>
  <si>
    <t>BOLETA - T Nº 30663</t>
  </si>
  <si>
    <t>BOLETA - T Nº 30737</t>
  </si>
  <si>
    <t>BOLETA - T Nº 31170</t>
  </si>
  <si>
    <t>BOLETA - T Nº 30303</t>
  </si>
  <si>
    <t>Factura Nº F012-00024423</t>
  </si>
  <si>
    <t>BOLETA - T Nº 30339</t>
  </si>
  <si>
    <t>BOLETA - T Nº 30509</t>
  </si>
  <si>
    <t>BOLETA - T Nº 30691</t>
  </si>
  <si>
    <t>BOLETA - T Nº 30792</t>
  </si>
  <si>
    <t>BOLETA - T Nº 30795</t>
  </si>
  <si>
    <t>BOLETA - T Nº 30845</t>
  </si>
  <si>
    <t>BOLETA - T Nº 31006</t>
  </si>
  <si>
    <t>BOLETA - T Nº 31212</t>
  </si>
  <si>
    <t>Factura Nº F012-00023254</t>
  </si>
  <si>
    <t>Documento anulado BOLETA - T 30783</t>
  </si>
  <si>
    <t>BOLETA - T 30783 Ingreso por venta anulada Nº 31700</t>
  </si>
  <si>
    <t>BOLETA - T Nº 30689</t>
  </si>
  <si>
    <t>BOLETA - T Nº 30913</t>
  </si>
  <si>
    <t>BOLETA - T Nº 31057</t>
  </si>
  <si>
    <t>Factura Nº F002-302</t>
  </si>
  <si>
    <t>BOLETA - T Nº 30586</t>
  </si>
  <si>
    <t>BOLETA - T Nº 30790</t>
  </si>
  <si>
    <t>BOLETA - T Nº 30970</t>
  </si>
  <si>
    <t>BOLETA - T Nº 31018</t>
  </si>
  <si>
    <t>BOLETA - T Nº 31106</t>
  </si>
  <si>
    <t>ALFAPARF SCALP BALANCING LOW SHAMPOO 1 L</t>
  </si>
  <si>
    <t>Factura Nº F001-00089346</t>
  </si>
  <si>
    <t>BOLETA - T Nº 30299</t>
  </si>
  <si>
    <t>BOLETA - T Nº 30404</t>
  </si>
  <si>
    <t>BOLETA - T Nº 30440</t>
  </si>
  <si>
    <t>BOLETA - T Nº 30588</t>
  </si>
  <si>
    <t>BOLETA - T Nº 30636</t>
  </si>
  <si>
    <t>BOLETA - T Nº 30641</t>
  </si>
  <si>
    <t>BOLETA - T Nº 30666</t>
  </si>
  <si>
    <t>BOLETA - T Nº 30878</t>
  </si>
  <si>
    <t>BOLETA - T Nº 31058</t>
  </si>
  <si>
    <t>BOLETA - T Nº 31157</t>
  </si>
  <si>
    <t>BOLETA - T Nº 30448</t>
  </si>
  <si>
    <t>BOLETA - T Nº 30553</t>
  </si>
  <si>
    <t>BOLETA - T Nº 30584</t>
  </si>
  <si>
    <t>BOLETA - T Nº 30677</t>
  </si>
  <si>
    <t>BOLETA - T Nº 30721</t>
  </si>
  <si>
    <t>BOLETA - T Nº 30726</t>
  </si>
  <si>
    <t>BOLETA - T Nº 30891</t>
  </si>
  <si>
    <t>BOLETA - T Nº 30977</t>
  </si>
  <si>
    <t>BOLETA - T Nº 31054</t>
  </si>
  <si>
    <t>BOLETA - T Nº 31189</t>
  </si>
  <si>
    <t>BOLETA - T Nº 31192</t>
  </si>
  <si>
    <t>BOLETA - T Nº 31209</t>
  </si>
  <si>
    <t>BOLETA - T Nº 31210</t>
  </si>
  <si>
    <t>BOLETA - T Nº 30297</t>
  </si>
  <si>
    <t>BOLETA - T Nº 30450</t>
  </si>
  <si>
    <t>BOLETA - T Nº 30872</t>
  </si>
  <si>
    <t>BOLETA - T Nº 30315</t>
  </si>
  <si>
    <t>BOLETA - T Nº 30971</t>
  </si>
  <si>
    <t>BOLETA - T Nº 31104</t>
  </si>
  <si>
    <t>KERASTASE ELIXIR REFILL L’HUILE ORIGINAL 75 ML</t>
  </si>
  <si>
    <t>Sin Documento Nº ERROR BOLETEO</t>
  </si>
  <si>
    <t>BOLETA - T Nº 30559</t>
  </si>
  <si>
    <t>BOLETA - T Nº 30770</t>
  </si>
  <si>
    <t>BOLETA - T Nº 30907</t>
  </si>
  <si>
    <t>BOLETA - T Nº 31042</t>
  </si>
  <si>
    <t>BOLETA - T Nº 30363</t>
  </si>
  <si>
    <t>BOLETA - T Nº 30382</t>
  </si>
  <si>
    <t>BOLETA - T Nº 30627</t>
  </si>
  <si>
    <t>BOLETA - T Nº 30757</t>
  </si>
  <si>
    <t>BOLETA - T Nº 30802</t>
  </si>
  <si>
    <t>BOLETA - T Nº 31000</t>
  </si>
  <si>
    <t>BOLETA - T Nº 31007</t>
  </si>
  <si>
    <t xml:space="preserve">CANTIDADES VENDIDAS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</si>
</sst>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4" fillId="2" borderId="1" xfId="0" applyFont="1" applyFill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61FEF-D5E7-4654-B898-DE24426758C3}">
  <dimension ref="A1:F541"/>
  <sheetViews>
    <sheetView tabSelected="1" zoomScaleNormal="100" workbookViewId="0">
      <selection activeCell="B6" sqref="B6"/>
    </sheetView>
  </sheetViews>
  <sheetFormatPr baseColWidth="10" defaultRowHeight="15" x14ac:dyDescent="0.25"/>
  <cols>
    <col min="1" max="1" width="5" customWidth="1"/>
    <col min="2" max="2" width="77.7109375" customWidth="1"/>
    <col min="3" max="3" width="15.85546875" customWidth="1"/>
    <col min="4" max="4" width="32.42578125" bestFit="1" customWidth="1"/>
    <col min="5" max="5" width="26.85546875" bestFit="1" customWidth="1"/>
    <col min="6" max="6" width="23.85546875" bestFit="1" customWidth="1"/>
  </cols>
  <sheetData>
    <row r="1" spans="1:6" ht="21" x14ac:dyDescent="0.35">
      <c r="B1" s="1" t="s">
        <v>0</v>
      </c>
      <c r="C1" s="1"/>
      <c r="D1" s="1"/>
      <c r="E1" s="1"/>
      <c r="F1" s="1"/>
    </row>
    <row r="2" spans="1:6" ht="21" x14ac:dyDescent="0.35">
      <c r="A2" s="11" t="s">
        <v>1243</v>
      </c>
      <c r="B2" s="12" t="s">
        <v>1</v>
      </c>
      <c r="C2" s="12" t="s">
        <v>2</v>
      </c>
      <c r="D2" s="12" t="s">
        <v>1667</v>
      </c>
      <c r="E2" s="12" t="s">
        <v>3</v>
      </c>
      <c r="F2" s="12" t="s">
        <v>4</v>
      </c>
    </row>
    <row r="3" spans="1:6" x14ac:dyDescent="0.25">
      <c r="A3" s="7">
        <v>1</v>
      </c>
      <c r="B3" s="8" t="s">
        <v>5</v>
      </c>
      <c r="C3" s="9" t="s">
        <v>6</v>
      </c>
      <c r="D3" s="7">
        <v>32</v>
      </c>
      <c r="E3" s="10">
        <v>56.49</v>
      </c>
      <c r="F3" s="10">
        <v>138.28249996875002</v>
      </c>
    </row>
    <row r="4" spans="1:6" x14ac:dyDescent="0.25">
      <c r="A4" s="7">
        <v>2</v>
      </c>
      <c r="B4" s="8" t="s">
        <v>7</v>
      </c>
      <c r="C4" s="9" t="s">
        <v>8</v>
      </c>
      <c r="D4" s="7">
        <v>30</v>
      </c>
      <c r="E4" s="10">
        <v>81.910000000000011</v>
      </c>
      <c r="F4" s="10">
        <v>177.97466656666666</v>
      </c>
    </row>
    <row r="5" spans="1:6" x14ac:dyDescent="0.25">
      <c r="A5" s="7">
        <v>3</v>
      </c>
      <c r="B5" s="8" t="s">
        <v>9</v>
      </c>
      <c r="C5" s="9" t="s">
        <v>10</v>
      </c>
      <c r="D5" s="7">
        <v>26</v>
      </c>
      <c r="E5" s="10">
        <v>26.096153846153836</v>
      </c>
      <c r="F5" s="10">
        <v>58.893846153846155</v>
      </c>
    </row>
    <row r="6" spans="1:6" x14ac:dyDescent="0.25">
      <c r="A6" s="7">
        <v>4</v>
      </c>
      <c r="B6" s="8" t="s">
        <v>11</v>
      </c>
      <c r="C6" s="9" t="s">
        <v>12</v>
      </c>
      <c r="D6" s="7">
        <v>25</v>
      </c>
      <c r="E6" s="10">
        <v>65.489999999999995</v>
      </c>
      <c r="F6" s="10">
        <v>119.98160003999999</v>
      </c>
    </row>
    <row r="7" spans="1:6" x14ac:dyDescent="0.25">
      <c r="A7" s="7">
        <v>5</v>
      </c>
      <c r="B7" s="8" t="s">
        <v>13</v>
      </c>
      <c r="C7" s="9" t="s">
        <v>14</v>
      </c>
      <c r="D7" s="7">
        <v>17</v>
      </c>
      <c r="E7" s="10">
        <v>12.101764705882355</v>
      </c>
      <c r="F7" s="10">
        <v>26.280858588235294</v>
      </c>
    </row>
    <row r="8" spans="1:6" x14ac:dyDescent="0.25">
      <c r="A8" s="7">
        <v>6</v>
      </c>
      <c r="B8" s="8" t="s">
        <v>15</v>
      </c>
      <c r="C8" s="9" t="s">
        <v>16</v>
      </c>
      <c r="D8" s="7">
        <v>14</v>
      </c>
      <c r="E8" s="10">
        <v>31.069999999999997</v>
      </c>
      <c r="F8" s="10">
        <v>74.321428571428569</v>
      </c>
    </row>
    <row r="9" spans="1:6" x14ac:dyDescent="0.25">
      <c r="A9" s="7">
        <v>7</v>
      </c>
      <c r="B9" s="8" t="s">
        <v>17</v>
      </c>
      <c r="C9" s="9" t="s">
        <v>18</v>
      </c>
      <c r="D9" s="7">
        <v>13</v>
      </c>
      <c r="E9" s="10">
        <v>48.95000000000001</v>
      </c>
      <c r="F9" s="10">
        <v>79.352307769230777</v>
      </c>
    </row>
    <row r="10" spans="1:6" x14ac:dyDescent="0.25">
      <c r="A10" s="7">
        <v>8</v>
      </c>
      <c r="B10" s="8" t="s">
        <v>19</v>
      </c>
      <c r="C10" s="9" t="s">
        <v>20</v>
      </c>
      <c r="D10" s="7">
        <v>12</v>
      </c>
      <c r="E10" s="10">
        <v>189.07999999999996</v>
      </c>
      <c r="F10" s="10">
        <v>357.8333351666667</v>
      </c>
    </row>
    <row r="11" spans="1:6" x14ac:dyDescent="0.25">
      <c r="A11" s="7">
        <v>9</v>
      </c>
      <c r="B11" s="8" t="s">
        <v>21</v>
      </c>
      <c r="C11" s="9" t="s">
        <v>22</v>
      </c>
      <c r="D11" s="7">
        <v>12</v>
      </c>
      <c r="E11" s="10">
        <v>35.649999999999991</v>
      </c>
      <c r="F11" s="10">
        <v>63.740833333333335</v>
      </c>
    </row>
    <row r="12" spans="1:6" x14ac:dyDescent="0.25">
      <c r="A12" s="7">
        <v>10</v>
      </c>
      <c r="B12" s="8" t="s">
        <v>23</v>
      </c>
      <c r="C12" s="9" t="s">
        <v>24</v>
      </c>
      <c r="D12" s="7">
        <v>12</v>
      </c>
      <c r="E12" s="10">
        <v>13.879999999999997</v>
      </c>
      <c r="F12" s="10">
        <v>27.703534916666666</v>
      </c>
    </row>
    <row r="13" spans="1:6" x14ac:dyDescent="0.25">
      <c r="A13" s="7">
        <v>11</v>
      </c>
      <c r="B13" s="8" t="s">
        <v>25</v>
      </c>
      <c r="C13" s="9" t="s">
        <v>26</v>
      </c>
      <c r="D13" s="7">
        <v>11</v>
      </c>
      <c r="E13" s="10">
        <v>74.52</v>
      </c>
      <c r="F13" s="10">
        <v>147.54545509090912</v>
      </c>
    </row>
    <row r="14" spans="1:6" x14ac:dyDescent="0.25">
      <c r="A14" s="7">
        <v>12</v>
      </c>
      <c r="B14" s="8" t="s">
        <v>27</v>
      </c>
      <c r="C14" s="9" t="s">
        <v>28</v>
      </c>
      <c r="D14" s="7">
        <v>11</v>
      </c>
      <c r="E14" s="10">
        <v>80.319999999999993</v>
      </c>
      <c r="F14" s="10">
        <v>126.37727327272727</v>
      </c>
    </row>
    <row r="15" spans="1:6" x14ac:dyDescent="0.25">
      <c r="A15" s="7">
        <v>13</v>
      </c>
      <c r="B15" s="8" t="s">
        <v>29</v>
      </c>
      <c r="C15" s="9" t="s">
        <v>30</v>
      </c>
      <c r="D15" s="7">
        <v>11</v>
      </c>
      <c r="E15" s="10">
        <v>30.34181818181818</v>
      </c>
      <c r="F15" s="10">
        <v>76.899999999999991</v>
      </c>
    </row>
    <row r="16" spans="1:6" x14ac:dyDescent="0.25">
      <c r="A16" s="7">
        <v>14</v>
      </c>
      <c r="B16" s="8" t="s">
        <v>31</v>
      </c>
      <c r="C16" s="9" t="s">
        <v>32</v>
      </c>
      <c r="D16" s="7">
        <v>10</v>
      </c>
      <c r="E16" s="10">
        <v>30.85</v>
      </c>
      <c r="F16" s="10">
        <v>52.912000899999995</v>
      </c>
    </row>
    <row r="17" spans="1:6" x14ac:dyDescent="0.25">
      <c r="A17" s="7">
        <v>15</v>
      </c>
      <c r="B17" s="8" t="s">
        <v>33</v>
      </c>
      <c r="C17" s="9" t="s">
        <v>34</v>
      </c>
      <c r="D17" s="7">
        <v>9</v>
      </c>
      <c r="E17" s="10">
        <v>25.19</v>
      </c>
      <c r="F17" s="10">
        <v>59</v>
      </c>
    </row>
    <row r="18" spans="1:6" x14ac:dyDescent="0.25">
      <c r="A18" s="7">
        <v>16</v>
      </c>
      <c r="B18" s="8" t="s">
        <v>35</v>
      </c>
      <c r="C18" s="9" t="s">
        <v>36</v>
      </c>
      <c r="D18" s="7">
        <v>9</v>
      </c>
      <c r="E18" s="10">
        <v>274.70999999999998</v>
      </c>
      <c r="F18" s="10">
        <v>498.11111111111109</v>
      </c>
    </row>
    <row r="19" spans="1:6" x14ac:dyDescent="0.25">
      <c r="A19" s="7">
        <v>17</v>
      </c>
      <c r="B19" s="8" t="s">
        <v>37</v>
      </c>
      <c r="C19" s="9" t="s">
        <v>38</v>
      </c>
      <c r="D19" s="7">
        <v>9</v>
      </c>
      <c r="E19" s="10">
        <v>143.88</v>
      </c>
      <c r="F19" s="10">
        <v>274.00000322222223</v>
      </c>
    </row>
    <row r="20" spans="1:6" x14ac:dyDescent="0.25">
      <c r="A20" s="7">
        <v>18</v>
      </c>
      <c r="B20" s="8" t="s">
        <v>39</v>
      </c>
      <c r="C20" s="9" t="s">
        <v>40</v>
      </c>
      <c r="D20" s="7">
        <v>9</v>
      </c>
      <c r="E20" s="10">
        <v>71.557777777777773</v>
      </c>
      <c r="F20" s="10">
        <v>136.88888888888889</v>
      </c>
    </row>
    <row r="21" spans="1:6" x14ac:dyDescent="0.25">
      <c r="A21" s="7">
        <v>19</v>
      </c>
      <c r="B21" s="8" t="s">
        <v>41</v>
      </c>
      <c r="C21" s="9" t="s">
        <v>42</v>
      </c>
      <c r="D21" s="7">
        <v>9</v>
      </c>
      <c r="E21" s="10">
        <v>34.474444444444444</v>
      </c>
      <c r="F21" s="10">
        <v>75.378888888888881</v>
      </c>
    </row>
    <row r="22" spans="1:6" x14ac:dyDescent="0.25">
      <c r="A22" s="7">
        <v>20</v>
      </c>
      <c r="B22" s="8" t="s">
        <v>43</v>
      </c>
      <c r="C22" s="9" t="s">
        <v>44</v>
      </c>
      <c r="D22" s="7">
        <v>8</v>
      </c>
      <c r="E22" s="10">
        <v>16.72</v>
      </c>
      <c r="F22" s="10">
        <v>52.821519000000002</v>
      </c>
    </row>
    <row r="23" spans="1:6" x14ac:dyDescent="0.25">
      <c r="A23" s="7">
        <v>21</v>
      </c>
      <c r="B23" s="8" t="s">
        <v>45</v>
      </c>
      <c r="C23" s="9" t="s">
        <v>46</v>
      </c>
      <c r="D23" s="7">
        <v>8</v>
      </c>
      <c r="E23" s="10">
        <v>37.260000000000005</v>
      </c>
      <c r="F23" s="10">
        <v>60.196250625000005</v>
      </c>
    </row>
    <row r="24" spans="1:6" x14ac:dyDescent="0.25">
      <c r="A24" s="7">
        <v>22</v>
      </c>
      <c r="B24" s="8" t="s">
        <v>47</v>
      </c>
      <c r="C24" s="9" t="s">
        <v>48</v>
      </c>
      <c r="D24" s="7">
        <v>8</v>
      </c>
      <c r="E24" s="10">
        <v>75.260000000000005</v>
      </c>
      <c r="F24" s="10">
        <v>178.22624887500001</v>
      </c>
    </row>
    <row r="25" spans="1:6" x14ac:dyDescent="0.25">
      <c r="A25" s="7">
        <v>23</v>
      </c>
      <c r="B25" s="8" t="s">
        <v>49</v>
      </c>
      <c r="C25" s="9" t="s">
        <v>50</v>
      </c>
      <c r="D25" s="7">
        <v>8</v>
      </c>
      <c r="E25" s="10">
        <v>19.557500000000001</v>
      </c>
      <c r="F25" s="10">
        <v>49</v>
      </c>
    </row>
    <row r="26" spans="1:6" x14ac:dyDescent="0.25">
      <c r="A26" s="7">
        <v>24</v>
      </c>
      <c r="B26" s="8" t="s">
        <v>51</v>
      </c>
      <c r="C26" s="9" t="s">
        <v>52</v>
      </c>
      <c r="D26" s="7">
        <v>8</v>
      </c>
      <c r="E26" s="10">
        <v>84.435000000000002</v>
      </c>
      <c r="F26" s="10">
        <v>179</v>
      </c>
    </row>
    <row r="27" spans="1:6" x14ac:dyDescent="0.25">
      <c r="A27" s="7">
        <v>25</v>
      </c>
      <c r="B27" s="8" t="s">
        <v>53</v>
      </c>
      <c r="C27" s="9" t="s">
        <v>54</v>
      </c>
      <c r="D27" s="7">
        <v>8</v>
      </c>
      <c r="E27" s="10">
        <v>13.211250000000001</v>
      </c>
      <c r="F27" s="10">
        <v>25.263750000000002</v>
      </c>
    </row>
    <row r="28" spans="1:6" x14ac:dyDescent="0.25">
      <c r="A28" s="7">
        <v>26</v>
      </c>
      <c r="B28" s="8" t="s">
        <v>55</v>
      </c>
      <c r="C28" s="9" t="s">
        <v>56</v>
      </c>
      <c r="D28" s="7">
        <v>7</v>
      </c>
      <c r="E28" s="10">
        <v>37.26</v>
      </c>
      <c r="F28" s="10">
        <v>56.688572285714294</v>
      </c>
    </row>
    <row r="29" spans="1:6" x14ac:dyDescent="0.25">
      <c r="A29" s="7">
        <v>27</v>
      </c>
      <c r="B29" s="8" t="s">
        <v>57</v>
      </c>
      <c r="C29" s="9" t="s">
        <v>58</v>
      </c>
      <c r="D29" s="7">
        <v>7</v>
      </c>
      <c r="E29" s="10">
        <v>94.539999999999992</v>
      </c>
      <c r="F29" s="10">
        <v>185</v>
      </c>
    </row>
    <row r="30" spans="1:6" x14ac:dyDescent="0.25">
      <c r="A30" s="7">
        <v>28</v>
      </c>
      <c r="B30" s="8" t="s">
        <v>59</v>
      </c>
      <c r="C30" s="9" t="s">
        <v>60</v>
      </c>
      <c r="D30" s="7">
        <v>7</v>
      </c>
      <c r="E30" s="10">
        <v>85.63</v>
      </c>
      <c r="F30" s="10">
        <v>181.78571428571428</v>
      </c>
    </row>
    <row r="31" spans="1:6" x14ac:dyDescent="0.25">
      <c r="A31" s="7">
        <v>29</v>
      </c>
      <c r="B31" s="8" t="s">
        <v>61</v>
      </c>
      <c r="C31" s="9" t="s">
        <v>62</v>
      </c>
      <c r="D31" s="7">
        <v>7</v>
      </c>
      <c r="E31" s="10">
        <v>68.149999999999991</v>
      </c>
      <c r="F31" s="10">
        <v>118.24501657142858</v>
      </c>
    </row>
    <row r="32" spans="1:6" x14ac:dyDescent="0.25">
      <c r="A32" s="7">
        <v>30</v>
      </c>
      <c r="B32" s="8" t="s">
        <v>63</v>
      </c>
      <c r="C32" s="9" t="s">
        <v>64</v>
      </c>
      <c r="D32" s="7">
        <v>7</v>
      </c>
      <c r="E32" s="10">
        <v>47.18571428571429</v>
      </c>
      <c r="F32" s="10">
        <v>94.428571428571431</v>
      </c>
    </row>
    <row r="33" spans="1:6" x14ac:dyDescent="0.25">
      <c r="A33" s="7">
        <v>31</v>
      </c>
      <c r="B33" s="8" t="s">
        <v>65</v>
      </c>
      <c r="C33" s="9" t="s">
        <v>66</v>
      </c>
      <c r="D33" s="7">
        <v>7</v>
      </c>
      <c r="E33" s="10">
        <v>97.637142857142862</v>
      </c>
      <c r="F33" s="10">
        <v>178.1428567142857</v>
      </c>
    </row>
    <row r="34" spans="1:6" x14ac:dyDescent="0.25">
      <c r="A34" s="7">
        <v>32</v>
      </c>
      <c r="B34" s="8" t="s">
        <v>67</v>
      </c>
      <c r="C34" s="9" t="s">
        <v>68</v>
      </c>
      <c r="D34" s="7">
        <v>7</v>
      </c>
      <c r="E34" s="10">
        <v>90.919999999999987</v>
      </c>
      <c r="F34" s="10">
        <v>198.91285714285712</v>
      </c>
    </row>
    <row r="35" spans="1:6" x14ac:dyDescent="0.25">
      <c r="A35" s="7">
        <v>33</v>
      </c>
      <c r="B35" s="8" t="s">
        <v>69</v>
      </c>
      <c r="C35" s="9" t="s">
        <v>70</v>
      </c>
      <c r="D35" s="7">
        <v>7</v>
      </c>
      <c r="E35" s="10">
        <v>54.959999999999994</v>
      </c>
      <c r="F35" s="10">
        <v>80.634287999999998</v>
      </c>
    </row>
    <row r="36" spans="1:6" x14ac:dyDescent="0.25">
      <c r="A36" s="7">
        <v>34</v>
      </c>
      <c r="B36" s="8" t="s">
        <v>71</v>
      </c>
      <c r="C36" s="9" t="s">
        <v>72</v>
      </c>
      <c r="D36" s="7">
        <v>7</v>
      </c>
      <c r="E36" s="10">
        <v>118.64999999999999</v>
      </c>
      <c r="F36" s="10">
        <v>191</v>
      </c>
    </row>
    <row r="37" spans="1:6" x14ac:dyDescent="0.25">
      <c r="A37" s="7">
        <v>35</v>
      </c>
      <c r="B37" s="8" t="s">
        <v>73</v>
      </c>
      <c r="C37" s="9" t="s">
        <v>74</v>
      </c>
      <c r="D37" s="7">
        <v>7</v>
      </c>
      <c r="E37" s="10">
        <v>21.03</v>
      </c>
      <c r="F37" s="10">
        <v>46.9</v>
      </c>
    </row>
    <row r="38" spans="1:6" x14ac:dyDescent="0.25">
      <c r="A38" s="7">
        <v>36</v>
      </c>
      <c r="B38" s="8" t="s">
        <v>75</v>
      </c>
      <c r="C38" s="9" t="s">
        <v>76</v>
      </c>
      <c r="D38" s="7">
        <v>7</v>
      </c>
      <c r="E38" s="10">
        <v>81.909999999999982</v>
      </c>
      <c r="F38" s="10">
        <v>178.14285714285714</v>
      </c>
    </row>
    <row r="39" spans="1:6" x14ac:dyDescent="0.25">
      <c r="A39" s="7">
        <v>37</v>
      </c>
      <c r="B39" s="8" t="s">
        <v>77</v>
      </c>
      <c r="C39" s="9" t="s">
        <v>78</v>
      </c>
      <c r="D39" s="7">
        <v>7</v>
      </c>
      <c r="E39" s="10">
        <v>89.439999999999984</v>
      </c>
      <c r="F39" s="10">
        <v>175</v>
      </c>
    </row>
    <row r="40" spans="1:6" x14ac:dyDescent="0.25">
      <c r="A40" s="7">
        <v>38</v>
      </c>
      <c r="B40" s="8" t="s">
        <v>79</v>
      </c>
      <c r="C40" s="9" t="s">
        <v>80</v>
      </c>
      <c r="D40" s="7">
        <v>7</v>
      </c>
      <c r="E40" s="10">
        <v>12.727142857142857</v>
      </c>
      <c r="F40" s="10">
        <v>26.5</v>
      </c>
    </row>
    <row r="41" spans="1:6" x14ac:dyDescent="0.25">
      <c r="A41" s="7">
        <v>39</v>
      </c>
      <c r="B41" s="8" t="s">
        <v>81</v>
      </c>
      <c r="C41" s="9" t="s">
        <v>82</v>
      </c>
      <c r="D41" s="7">
        <v>7</v>
      </c>
      <c r="E41" s="10">
        <v>70</v>
      </c>
      <c r="F41" s="10">
        <v>127.34285714285714</v>
      </c>
    </row>
    <row r="42" spans="1:6" x14ac:dyDescent="0.25">
      <c r="A42" s="7">
        <v>40</v>
      </c>
      <c r="B42" s="8" t="s">
        <v>83</v>
      </c>
      <c r="C42" s="9" t="s">
        <v>84</v>
      </c>
      <c r="D42" s="7">
        <v>6</v>
      </c>
      <c r="E42" s="10">
        <v>86.44</v>
      </c>
      <c r="F42" s="10">
        <v>153.31846099999999</v>
      </c>
    </row>
    <row r="43" spans="1:6" x14ac:dyDescent="0.25">
      <c r="A43" s="7">
        <v>41</v>
      </c>
      <c r="B43" s="8" t="s">
        <v>85</v>
      </c>
      <c r="C43" s="9" t="s">
        <v>86</v>
      </c>
      <c r="D43" s="7">
        <v>6</v>
      </c>
      <c r="E43" s="10">
        <v>33.9</v>
      </c>
      <c r="F43" s="10">
        <v>80.3</v>
      </c>
    </row>
    <row r="44" spans="1:6" x14ac:dyDescent="0.25">
      <c r="A44" s="7">
        <v>42</v>
      </c>
      <c r="B44" s="8" t="s">
        <v>87</v>
      </c>
      <c r="C44" s="9" t="s">
        <v>88</v>
      </c>
      <c r="D44" s="7">
        <v>6</v>
      </c>
      <c r="E44" s="10">
        <v>101.63000000000001</v>
      </c>
      <c r="F44" s="10">
        <v>174</v>
      </c>
    </row>
    <row r="45" spans="1:6" x14ac:dyDescent="0.25">
      <c r="A45" s="7">
        <v>43</v>
      </c>
      <c r="B45" s="8" t="s">
        <v>89</v>
      </c>
      <c r="C45" s="9" t="s">
        <v>90</v>
      </c>
      <c r="D45" s="7">
        <v>6</v>
      </c>
      <c r="E45" s="10">
        <v>32.99</v>
      </c>
      <c r="F45" s="10">
        <v>57.919998666666665</v>
      </c>
    </row>
    <row r="46" spans="1:6" x14ac:dyDescent="0.25">
      <c r="A46" s="7">
        <v>44</v>
      </c>
      <c r="B46" s="8" t="s">
        <v>91</v>
      </c>
      <c r="C46" s="9" t="s">
        <v>92</v>
      </c>
      <c r="D46" s="7">
        <v>6</v>
      </c>
      <c r="E46" s="10">
        <v>65.540000000000006</v>
      </c>
      <c r="F46" s="10">
        <v>128.38</v>
      </c>
    </row>
    <row r="47" spans="1:6" x14ac:dyDescent="0.25">
      <c r="A47" s="7">
        <v>45</v>
      </c>
      <c r="B47" s="8" t="s">
        <v>93</v>
      </c>
      <c r="C47" s="9" t="s">
        <v>94</v>
      </c>
      <c r="D47" s="7">
        <v>6</v>
      </c>
      <c r="E47" s="10">
        <v>95</v>
      </c>
      <c r="F47" s="10">
        <v>180</v>
      </c>
    </row>
    <row r="48" spans="1:6" x14ac:dyDescent="0.25">
      <c r="A48" s="7">
        <v>46</v>
      </c>
      <c r="B48" s="8" t="s">
        <v>95</v>
      </c>
      <c r="C48" s="9" t="s">
        <v>96</v>
      </c>
      <c r="D48" s="7">
        <v>6</v>
      </c>
      <c r="E48" s="10">
        <v>56.49</v>
      </c>
      <c r="F48" s="10">
        <v>137.33333333333334</v>
      </c>
    </row>
    <row r="49" spans="1:6" x14ac:dyDescent="0.25">
      <c r="A49" s="7">
        <v>47</v>
      </c>
      <c r="B49" s="8" t="s">
        <v>97</v>
      </c>
      <c r="C49" s="9" t="s">
        <v>98</v>
      </c>
      <c r="D49" s="7">
        <v>6</v>
      </c>
      <c r="E49" s="10">
        <v>30.16</v>
      </c>
      <c r="F49" s="10">
        <v>70.566666666666663</v>
      </c>
    </row>
    <row r="50" spans="1:6" x14ac:dyDescent="0.25">
      <c r="A50" s="7">
        <v>48</v>
      </c>
      <c r="B50" s="8" t="s">
        <v>99</v>
      </c>
      <c r="C50" s="9" t="s">
        <v>100</v>
      </c>
      <c r="D50" s="7">
        <v>6</v>
      </c>
      <c r="E50" s="10">
        <v>32.65</v>
      </c>
      <c r="F50" s="10">
        <v>69.50333333333333</v>
      </c>
    </row>
    <row r="51" spans="1:6" x14ac:dyDescent="0.25">
      <c r="A51" s="7">
        <v>49</v>
      </c>
      <c r="B51" s="8" t="s">
        <v>101</v>
      </c>
      <c r="C51" s="9" t="s">
        <v>102</v>
      </c>
      <c r="D51" s="7">
        <v>6</v>
      </c>
      <c r="E51" s="10">
        <v>13.523333333333333</v>
      </c>
      <c r="F51" s="10">
        <v>26.5</v>
      </c>
    </row>
    <row r="52" spans="1:6" x14ac:dyDescent="0.25">
      <c r="A52" s="7">
        <v>50</v>
      </c>
      <c r="B52" s="8" t="s">
        <v>103</v>
      </c>
      <c r="C52" s="9" t="s">
        <v>104</v>
      </c>
      <c r="D52" s="7">
        <v>6</v>
      </c>
      <c r="E52" s="10">
        <v>12.81</v>
      </c>
      <c r="F52" s="10">
        <v>24.85166666666667</v>
      </c>
    </row>
    <row r="53" spans="1:6" x14ac:dyDescent="0.25">
      <c r="A53" s="7">
        <v>51</v>
      </c>
      <c r="B53" s="8" t="s">
        <v>105</v>
      </c>
      <c r="C53" s="9" t="s">
        <v>106</v>
      </c>
      <c r="D53" s="7">
        <v>6</v>
      </c>
      <c r="E53" s="10">
        <v>104</v>
      </c>
      <c r="F53" s="10">
        <v>191.15166666666664</v>
      </c>
    </row>
    <row r="54" spans="1:6" x14ac:dyDescent="0.25">
      <c r="A54" s="7">
        <v>52</v>
      </c>
      <c r="B54" s="8" t="s">
        <v>107</v>
      </c>
      <c r="C54" s="9" t="s">
        <v>108</v>
      </c>
      <c r="D54" s="7">
        <v>6</v>
      </c>
      <c r="E54" s="10">
        <v>13.89</v>
      </c>
      <c r="F54" s="10">
        <v>23.918648999999998</v>
      </c>
    </row>
    <row r="55" spans="1:6" x14ac:dyDescent="0.25">
      <c r="A55" s="7">
        <v>53</v>
      </c>
      <c r="B55" s="8" t="s">
        <v>109</v>
      </c>
      <c r="C55" s="9" t="s">
        <v>110</v>
      </c>
      <c r="D55" s="7">
        <v>6</v>
      </c>
      <c r="E55" s="10">
        <v>81.899999999999991</v>
      </c>
      <c r="F55" s="10">
        <v>179</v>
      </c>
    </row>
    <row r="56" spans="1:6" x14ac:dyDescent="0.25">
      <c r="A56" s="7">
        <v>54</v>
      </c>
      <c r="B56" s="8" t="s">
        <v>111</v>
      </c>
      <c r="C56" s="9" t="s">
        <v>112</v>
      </c>
      <c r="D56" s="7">
        <v>6</v>
      </c>
      <c r="E56" s="10">
        <v>11.31</v>
      </c>
      <c r="F56" s="10">
        <v>24.8513825</v>
      </c>
    </row>
    <row r="57" spans="1:6" x14ac:dyDescent="0.25">
      <c r="A57" s="7">
        <v>55</v>
      </c>
      <c r="B57" s="8" t="s">
        <v>113</v>
      </c>
      <c r="C57" s="9" t="s">
        <v>114</v>
      </c>
      <c r="D57" s="7">
        <v>6</v>
      </c>
      <c r="E57" s="10">
        <v>70.22999999999999</v>
      </c>
      <c r="F57" s="10">
        <v>165.75166666666664</v>
      </c>
    </row>
    <row r="58" spans="1:6" x14ac:dyDescent="0.25">
      <c r="A58" s="7">
        <v>56</v>
      </c>
      <c r="B58" s="8" t="s">
        <v>115</v>
      </c>
      <c r="C58" s="9" t="s">
        <v>116</v>
      </c>
      <c r="D58" s="7">
        <v>5</v>
      </c>
      <c r="E58" s="10">
        <v>19.68</v>
      </c>
      <c r="F58" s="10">
        <v>50.2</v>
      </c>
    </row>
    <row r="59" spans="1:6" x14ac:dyDescent="0.25">
      <c r="A59" s="7">
        <v>57</v>
      </c>
      <c r="B59" s="8" t="s">
        <v>117</v>
      </c>
      <c r="C59" s="9" t="s">
        <v>118</v>
      </c>
      <c r="D59" s="7">
        <v>5</v>
      </c>
      <c r="E59" s="10">
        <v>17.607999999999997</v>
      </c>
      <c r="F59" s="10">
        <v>49.92</v>
      </c>
    </row>
    <row r="60" spans="1:6" x14ac:dyDescent="0.25">
      <c r="A60" s="7">
        <v>58</v>
      </c>
      <c r="B60" s="8" t="s">
        <v>119</v>
      </c>
      <c r="C60" s="9" t="s">
        <v>120</v>
      </c>
      <c r="D60" s="7">
        <v>5</v>
      </c>
      <c r="E60" s="10">
        <v>93.825999999999993</v>
      </c>
      <c r="F60" s="10">
        <v>176.24</v>
      </c>
    </row>
    <row r="61" spans="1:6" x14ac:dyDescent="0.25">
      <c r="A61" s="7">
        <v>59</v>
      </c>
      <c r="B61" s="8" t="s">
        <v>121</v>
      </c>
      <c r="C61" s="9" t="s">
        <v>122</v>
      </c>
      <c r="D61" s="7">
        <v>5</v>
      </c>
      <c r="E61" s="10">
        <v>0</v>
      </c>
      <c r="F61" s="10">
        <v>58.107234599999991</v>
      </c>
    </row>
    <row r="62" spans="1:6" x14ac:dyDescent="0.25">
      <c r="A62" s="7">
        <v>60</v>
      </c>
      <c r="B62" s="8" t="s">
        <v>123</v>
      </c>
      <c r="C62" s="9" t="s">
        <v>124</v>
      </c>
      <c r="D62" s="7">
        <v>5</v>
      </c>
      <c r="E62" s="10">
        <v>67.37</v>
      </c>
      <c r="F62" s="10">
        <v>98.200000399999993</v>
      </c>
    </row>
    <row r="63" spans="1:6" x14ac:dyDescent="0.25">
      <c r="A63" s="7">
        <v>61</v>
      </c>
      <c r="B63" s="8" t="s">
        <v>125</v>
      </c>
      <c r="C63" s="9" t="s">
        <v>126</v>
      </c>
      <c r="D63" s="7">
        <v>5</v>
      </c>
      <c r="E63" s="10">
        <v>28.639999999999997</v>
      </c>
      <c r="F63" s="10">
        <v>35.489998</v>
      </c>
    </row>
    <row r="64" spans="1:6" x14ac:dyDescent="0.25">
      <c r="A64" s="7">
        <v>62</v>
      </c>
      <c r="B64" s="8" t="s">
        <v>127</v>
      </c>
      <c r="C64" s="9" t="s">
        <v>128</v>
      </c>
      <c r="D64" s="7">
        <v>5</v>
      </c>
      <c r="E64" s="10">
        <v>19.68</v>
      </c>
      <c r="F64" s="10">
        <v>51.755999999999993</v>
      </c>
    </row>
    <row r="65" spans="1:6" x14ac:dyDescent="0.25">
      <c r="A65" s="7">
        <v>63</v>
      </c>
      <c r="B65" s="8" t="s">
        <v>129</v>
      </c>
      <c r="C65" s="9" t="s">
        <v>130</v>
      </c>
      <c r="D65" s="7">
        <v>5</v>
      </c>
      <c r="E65" s="10">
        <v>18.940000000000001</v>
      </c>
      <c r="F65" s="10">
        <v>51.755999999999993</v>
      </c>
    </row>
    <row r="66" spans="1:6" x14ac:dyDescent="0.25">
      <c r="A66" s="7">
        <v>64</v>
      </c>
      <c r="B66" s="8" t="s">
        <v>131</v>
      </c>
      <c r="C66" s="9" t="s">
        <v>132</v>
      </c>
      <c r="D66" s="7">
        <v>5</v>
      </c>
      <c r="E66" s="10">
        <v>17.163999999999998</v>
      </c>
      <c r="F66" s="10">
        <v>51.4</v>
      </c>
    </row>
    <row r="67" spans="1:6" x14ac:dyDescent="0.25">
      <c r="A67" s="7">
        <v>65</v>
      </c>
      <c r="B67" s="8" t="s">
        <v>133</v>
      </c>
      <c r="C67" s="9" t="s">
        <v>134</v>
      </c>
      <c r="D67" s="7">
        <v>5</v>
      </c>
      <c r="E67" s="10">
        <v>48.05</v>
      </c>
      <c r="F67" s="10">
        <v>110.64200000000001</v>
      </c>
    </row>
    <row r="68" spans="1:6" x14ac:dyDescent="0.25">
      <c r="A68" s="7">
        <v>66</v>
      </c>
      <c r="B68" s="8" t="s">
        <v>135</v>
      </c>
      <c r="C68" s="9" t="s">
        <v>136</v>
      </c>
      <c r="D68" s="7">
        <v>5</v>
      </c>
      <c r="E68" s="10">
        <v>37.28</v>
      </c>
      <c r="F68" s="10">
        <v>67.22</v>
      </c>
    </row>
    <row r="69" spans="1:6" x14ac:dyDescent="0.25">
      <c r="A69" s="7">
        <v>67</v>
      </c>
      <c r="B69" s="8" t="s">
        <v>137</v>
      </c>
      <c r="C69" s="9" t="s">
        <v>138</v>
      </c>
      <c r="D69" s="7">
        <v>5</v>
      </c>
      <c r="E69" s="10">
        <v>110.17</v>
      </c>
      <c r="F69" s="10">
        <v>224.6</v>
      </c>
    </row>
    <row r="70" spans="1:6" x14ac:dyDescent="0.25">
      <c r="A70" s="7">
        <v>68</v>
      </c>
      <c r="B70" s="8" t="s">
        <v>139</v>
      </c>
      <c r="C70" s="9" t="s">
        <v>140</v>
      </c>
      <c r="D70" s="7">
        <v>5</v>
      </c>
      <c r="E70" s="10">
        <v>0</v>
      </c>
      <c r="F70" s="10">
        <v>71.599999999999994</v>
      </c>
    </row>
    <row r="71" spans="1:6" x14ac:dyDescent="0.25">
      <c r="A71" s="7">
        <v>69</v>
      </c>
      <c r="B71" s="8" t="s">
        <v>141</v>
      </c>
      <c r="C71" s="9" t="s">
        <v>142</v>
      </c>
      <c r="D71" s="7">
        <v>5</v>
      </c>
      <c r="E71" s="10">
        <v>51.83</v>
      </c>
      <c r="F71" s="10">
        <v>114.56199999999998</v>
      </c>
    </row>
    <row r="72" spans="1:6" x14ac:dyDescent="0.25">
      <c r="A72" s="7">
        <v>70</v>
      </c>
      <c r="B72" s="8" t="s">
        <v>143</v>
      </c>
      <c r="C72" s="9" t="s">
        <v>144</v>
      </c>
      <c r="D72" s="7">
        <v>5</v>
      </c>
      <c r="E72" s="10">
        <v>50.93</v>
      </c>
      <c r="F72" s="10">
        <v>105.66199999999999</v>
      </c>
    </row>
    <row r="73" spans="1:6" x14ac:dyDescent="0.25">
      <c r="A73" s="7">
        <v>71</v>
      </c>
      <c r="B73" s="8" t="s">
        <v>145</v>
      </c>
      <c r="C73" s="9" t="s">
        <v>146</v>
      </c>
      <c r="D73" s="7">
        <v>5</v>
      </c>
      <c r="E73" s="10">
        <v>32.260000000000005</v>
      </c>
      <c r="F73" s="10">
        <v>39.969997999999997</v>
      </c>
    </row>
    <row r="74" spans="1:6" x14ac:dyDescent="0.25">
      <c r="A74" s="7">
        <v>72</v>
      </c>
      <c r="B74" s="8" t="s">
        <v>147</v>
      </c>
      <c r="C74" s="9" t="s">
        <v>148</v>
      </c>
      <c r="D74" s="7">
        <v>5</v>
      </c>
      <c r="E74" s="10">
        <v>65.540000000000006</v>
      </c>
      <c r="F74" s="10">
        <v>127.8</v>
      </c>
    </row>
    <row r="75" spans="1:6" x14ac:dyDescent="0.25">
      <c r="A75" s="7">
        <v>73</v>
      </c>
      <c r="B75" s="8" t="s">
        <v>149</v>
      </c>
      <c r="C75" s="9" t="s">
        <v>150</v>
      </c>
      <c r="D75" s="7">
        <v>5</v>
      </c>
      <c r="E75" s="10">
        <v>78.81</v>
      </c>
      <c r="F75" s="10">
        <v>137.14741180000001</v>
      </c>
    </row>
    <row r="76" spans="1:6" x14ac:dyDescent="0.25">
      <c r="A76" s="7">
        <v>74</v>
      </c>
      <c r="B76" s="8" t="s">
        <v>151</v>
      </c>
      <c r="C76" s="9" t="s">
        <v>152</v>
      </c>
      <c r="D76" s="7">
        <v>5</v>
      </c>
      <c r="E76" s="10">
        <v>33.19</v>
      </c>
      <c r="F76" s="10">
        <v>39.969997999999997</v>
      </c>
    </row>
    <row r="77" spans="1:6" x14ac:dyDescent="0.25">
      <c r="A77" s="7">
        <v>75</v>
      </c>
      <c r="B77" s="8" t="s">
        <v>153</v>
      </c>
      <c r="C77" s="9" t="s">
        <v>154</v>
      </c>
      <c r="D77" s="7">
        <v>5</v>
      </c>
      <c r="E77" s="10">
        <v>29.387999999999998</v>
      </c>
      <c r="F77" s="10">
        <v>35.489998</v>
      </c>
    </row>
    <row r="78" spans="1:6" x14ac:dyDescent="0.25">
      <c r="A78" s="7">
        <v>76</v>
      </c>
      <c r="B78" s="8" t="s">
        <v>155</v>
      </c>
      <c r="C78" s="9" t="s">
        <v>156</v>
      </c>
      <c r="D78" s="7">
        <v>5</v>
      </c>
      <c r="E78" s="10">
        <v>53.041999999999994</v>
      </c>
      <c r="F78" s="10">
        <v>74.974002399999989</v>
      </c>
    </row>
    <row r="79" spans="1:6" x14ac:dyDescent="0.25">
      <c r="A79" s="7">
        <v>77</v>
      </c>
      <c r="B79" s="8" t="s">
        <v>157</v>
      </c>
      <c r="C79" s="9" t="s">
        <v>158</v>
      </c>
      <c r="D79" s="7">
        <v>5</v>
      </c>
      <c r="E79" s="10">
        <v>33.426000000000002</v>
      </c>
      <c r="F79" s="10">
        <v>67.5</v>
      </c>
    </row>
    <row r="80" spans="1:6" x14ac:dyDescent="0.25">
      <c r="A80" s="7">
        <v>78</v>
      </c>
      <c r="B80" s="8" t="s">
        <v>159</v>
      </c>
      <c r="C80" s="9" t="s">
        <v>160</v>
      </c>
      <c r="D80" s="7">
        <v>5</v>
      </c>
      <c r="E80" s="10">
        <v>56.48</v>
      </c>
      <c r="F80" s="10">
        <v>138.1999998</v>
      </c>
    </row>
    <row r="81" spans="1:6" x14ac:dyDescent="0.25">
      <c r="A81" s="7">
        <v>79</v>
      </c>
      <c r="B81" s="8" t="s">
        <v>161</v>
      </c>
      <c r="C81" s="9" t="s">
        <v>162</v>
      </c>
      <c r="D81" s="7">
        <v>5</v>
      </c>
      <c r="E81" s="10">
        <v>84.837999999999994</v>
      </c>
      <c r="F81" s="10">
        <v>155.6</v>
      </c>
    </row>
    <row r="82" spans="1:6" x14ac:dyDescent="0.25">
      <c r="A82" s="7">
        <v>80</v>
      </c>
      <c r="B82" s="8" t="s">
        <v>163</v>
      </c>
      <c r="C82" s="9" t="s">
        <v>164</v>
      </c>
      <c r="D82" s="7">
        <v>5</v>
      </c>
      <c r="E82" s="10">
        <v>12.819999999999999</v>
      </c>
      <c r="F82" s="10">
        <v>26.5</v>
      </c>
    </row>
    <row r="83" spans="1:6" x14ac:dyDescent="0.25">
      <c r="A83" s="7">
        <v>81</v>
      </c>
      <c r="B83" s="8" t="s">
        <v>165</v>
      </c>
      <c r="C83" s="9" t="s">
        <v>166</v>
      </c>
      <c r="D83" s="7">
        <v>5</v>
      </c>
      <c r="E83" s="10">
        <v>0</v>
      </c>
      <c r="F83" s="10">
        <v>0</v>
      </c>
    </row>
    <row r="84" spans="1:6" x14ac:dyDescent="0.25">
      <c r="A84" s="7">
        <v>82</v>
      </c>
      <c r="B84" s="8" t="s">
        <v>167</v>
      </c>
      <c r="C84" s="9" t="s">
        <v>168</v>
      </c>
      <c r="D84" s="7">
        <v>5</v>
      </c>
      <c r="E84" s="10">
        <v>104</v>
      </c>
      <c r="F84" s="10">
        <v>187.8</v>
      </c>
    </row>
    <row r="85" spans="1:6" x14ac:dyDescent="0.25">
      <c r="A85" s="7">
        <v>83</v>
      </c>
      <c r="B85" s="8" t="s">
        <v>169</v>
      </c>
      <c r="C85" s="9" t="s">
        <v>170</v>
      </c>
      <c r="D85" s="7">
        <v>5</v>
      </c>
      <c r="E85" s="10">
        <v>141.828</v>
      </c>
      <c r="F85" s="10">
        <v>297</v>
      </c>
    </row>
    <row r="86" spans="1:6" x14ac:dyDescent="0.25">
      <c r="A86" s="7">
        <v>84</v>
      </c>
      <c r="B86" s="8" t="s">
        <v>171</v>
      </c>
      <c r="C86" s="9" t="s">
        <v>172</v>
      </c>
      <c r="D86" s="7">
        <v>5</v>
      </c>
      <c r="E86" s="10">
        <v>25.42</v>
      </c>
      <c r="F86" s="10">
        <v>67.8</v>
      </c>
    </row>
    <row r="87" spans="1:6" x14ac:dyDescent="0.25">
      <c r="A87" s="7">
        <v>85</v>
      </c>
      <c r="B87" s="8" t="s">
        <v>173</v>
      </c>
      <c r="C87" s="9" t="s">
        <v>174</v>
      </c>
      <c r="D87" s="7">
        <v>5</v>
      </c>
      <c r="E87" s="10">
        <v>73.864000000000004</v>
      </c>
      <c r="F87" s="10">
        <v>137.46800000000002</v>
      </c>
    </row>
    <row r="88" spans="1:6" x14ac:dyDescent="0.25">
      <c r="A88" s="7">
        <v>86</v>
      </c>
      <c r="B88" s="8" t="s">
        <v>175</v>
      </c>
      <c r="C88" s="9" t="s">
        <v>176</v>
      </c>
      <c r="D88" s="7">
        <v>5</v>
      </c>
      <c r="E88" s="10">
        <v>69.099999999999994</v>
      </c>
      <c r="F88" s="10">
        <v>123.70999879999999</v>
      </c>
    </row>
    <row r="89" spans="1:6" x14ac:dyDescent="0.25">
      <c r="A89" s="7">
        <v>87</v>
      </c>
      <c r="B89" s="8" t="s">
        <v>177</v>
      </c>
      <c r="C89" s="9" t="s">
        <v>178</v>
      </c>
      <c r="D89" s="7">
        <v>5</v>
      </c>
      <c r="E89" s="10">
        <v>21.03</v>
      </c>
      <c r="F89" s="10">
        <v>46.367999999999995</v>
      </c>
    </row>
    <row r="90" spans="1:6" x14ac:dyDescent="0.25">
      <c r="A90" s="7">
        <v>88</v>
      </c>
      <c r="B90" s="8" t="s">
        <v>179</v>
      </c>
      <c r="C90" s="9" t="s">
        <v>180</v>
      </c>
      <c r="D90" s="7">
        <v>5</v>
      </c>
      <c r="E90" s="10">
        <v>30.643999999999998</v>
      </c>
      <c r="F90" s="10">
        <v>75.731999999999999</v>
      </c>
    </row>
    <row r="91" spans="1:6" x14ac:dyDescent="0.25">
      <c r="A91" s="7">
        <v>89</v>
      </c>
      <c r="B91" s="8" t="s">
        <v>181</v>
      </c>
      <c r="C91" s="9" t="s">
        <v>182</v>
      </c>
      <c r="D91" s="7">
        <v>5</v>
      </c>
      <c r="E91" s="10">
        <v>0</v>
      </c>
      <c r="F91" s="10">
        <v>17.399999999999999</v>
      </c>
    </row>
    <row r="92" spans="1:6" x14ac:dyDescent="0.25">
      <c r="A92" s="7">
        <v>90</v>
      </c>
      <c r="B92" s="8" t="s">
        <v>183</v>
      </c>
      <c r="C92" s="9" t="s">
        <v>184</v>
      </c>
      <c r="D92" s="7">
        <v>4</v>
      </c>
      <c r="E92" s="10">
        <v>99.894999999999996</v>
      </c>
      <c r="F92" s="10">
        <v>177.9999985</v>
      </c>
    </row>
    <row r="93" spans="1:6" x14ac:dyDescent="0.25">
      <c r="A93" s="7">
        <v>91</v>
      </c>
      <c r="B93" s="8" t="s">
        <v>185</v>
      </c>
      <c r="C93" s="9" t="s">
        <v>186</v>
      </c>
      <c r="D93" s="7">
        <v>4</v>
      </c>
      <c r="E93" s="10">
        <v>27.765000000000001</v>
      </c>
      <c r="F93" s="10">
        <v>64.762500000000003</v>
      </c>
    </row>
    <row r="94" spans="1:6" x14ac:dyDescent="0.25">
      <c r="A94" s="7">
        <v>92</v>
      </c>
      <c r="B94" s="8" t="s">
        <v>187</v>
      </c>
      <c r="C94" s="9" t="s">
        <v>188</v>
      </c>
      <c r="D94" s="7">
        <v>4</v>
      </c>
      <c r="E94" s="10">
        <v>44.07</v>
      </c>
      <c r="F94" s="10">
        <v>102.925</v>
      </c>
    </row>
    <row r="95" spans="1:6" x14ac:dyDescent="0.25">
      <c r="A95" s="7">
        <v>93</v>
      </c>
      <c r="B95" s="8" t="s">
        <v>189</v>
      </c>
      <c r="C95" s="9" t="s">
        <v>190</v>
      </c>
      <c r="D95" s="7">
        <v>4</v>
      </c>
      <c r="E95" s="10">
        <v>126.8125</v>
      </c>
      <c r="F95" s="10">
        <v>197.5</v>
      </c>
    </row>
    <row r="96" spans="1:6" x14ac:dyDescent="0.25">
      <c r="A96" s="7">
        <v>94</v>
      </c>
      <c r="B96" s="8" t="s">
        <v>191</v>
      </c>
      <c r="C96" s="9" t="s">
        <v>192</v>
      </c>
      <c r="D96" s="7">
        <v>4</v>
      </c>
      <c r="E96" s="10">
        <v>180.17</v>
      </c>
      <c r="F96" s="10">
        <v>358</v>
      </c>
    </row>
    <row r="97" spans="1:6" x14ac:dyDescent="0.25">
      <c r="A97" s="7">
        <v>95</v>
      </c>
      <c r="B97" s="8" t="s">
        <v>193</v>
      </c>
      <c r="C97" s="9" t="s">
        <v>194</v>
      </c>
      <c r="D97" s="7">
        <v>4</v>
      </c>
      <c r="E97" s="10">
        <v>16.72</v>
      </c>
      <c r="F97" s="10">
        <v>52</v>
      </c>
    </row>
    <row r="98" spans="1:6" x14ac:dyDescent="0.25">
      <c r="A98" s="7">
        <v>96</v>
      </c>
      <c r="B98" s="8" t="s">
        <v>195</v>
      </c>
      <c r="C98" s="9" t="s">
        <v>196</v>
      </c>
      <c r="D98" s="7">
        <v>4</v>
      </c>
      <c r="E98" s="10">
        <v>55.99</v>
      </c>
      <c r="F98" s="10">
        <v>132</v>
      </c>
    </row>
    <row r="99" spans="1:6" x14ac:dyDescent="0.25">
      <c r="A99" s="7">
        <v>97</v>
      </c>
      <c r="B99" s="8" t="s">
        <v>197</v>
      </c>
      <c r="C99" s="9" t="s">
        <v>198</v>
      </c>
      <c r="D99" s="7">
        <v>4</v>
      </c>
      <c r="E99" s="10">
        <v>87.52</v>
      </c>
      <c r="F99" s="10">
        <v>149.1</v>
      </c>
    </row>
    <row r="100" spans="1:6" x14ac:dyDescent="0.25">
      <c r="A100" s="7">
        <v>98</v>
      </c>
      <c r="B100" s="8" t="s">
        <v>199</v>
      </c>
      <c r="C100" s="9" t="s">
        <v>200</v>
      </c>
      <c r="D100" s="7">
        <v>4</v>
      </c>
      <c r="E100" s="10">
        <v>52.73</v>
      </c>
      <c r="F100" s="10">
        <v>118.67</v>
      </c>
    </row>
    <row r="101" spans="1:6" x14ac:dyDescent="0.25">
      <c r="A101" s="7">
        <v>99</v>
      </c>
      <c r="B101" s="8" t="s">
        <v>201</v>
      </c>
      <c r="C101" s="9" t="s">
        <v>202</v>
      </c>
      <c r="D101" s="7">
        <v>4</v>
      </c>
      <c r="E101" s="10">
        <v>19.68</v>
      </c>
      <c r="F101" s="10">
        <v>52</v>
      </c>
    </row>
    <row r="102" spans="1:6" x14ac:dyDescent="0.25">
      <c r="A102" s="7">
        <v>100</v>
      </c>
      <c r="B102" s="8" t="s">
        <v>203</v>
      </c>
      <c r="C102" s="9" t="s">
        <v>204</v>
      </c>
      <c r="D102" s="7">
        <v>4</v>
      </c>
      <c r="E102" s="10">
        <v>44.21</v>
      </c>
      <c r="F102" s="10">
        <v>118.84</v>
      </c>
    </row>
    <row r="103" spans="1:6" x14ac:dyDescent="0.25">
      <c r="A103" s="7">
        <v>101</v>
      </c>
      <c r="B103" s="8" t="s">
        <v>205</v>
      </c>
      <c r="C103" s="9" t="s">
        <v>206</v>
      </c>
      <c r="D103" s="7">
        <v>4</v>
      </c>
      <c r="E103" s="10">
        <v>34.549999999999997</v>
      </c>
      <c r="F103" s="10">
        <v>78.999997000000008</v>
      </c>
    </row>
    <row r="104" spans="1:6" x14ac:dyDescent="0.25">
      <c r="A104" s="7">
        <v>102</v>
      </c>
      <c r="B104" s="8" t="s">
        <v>207</v>
      </c>
      <c r="C104" s="9" t="s">
        <v>208</v>
      </c>
      <c r="D104" s="7">
        <v>4</v>
      </c>
      <c r="E104" s="10">
        <v>0</v>
      </c>
      <c r="F104" s="10">
        <v>0</v>
      </c>
    </row>
    <row r="105" spans="1:6" x14ac:dyDescent="0.25">
      <c r="A105" s="7">
        <v>103</v>
      </c>
      <c r="B105" s="8" t="s">
        <v>209</v>
      </c>
      <c r="C105" s="9" t="s">
        <v>210</v>
      </c>
      <c r="D105" s="7">
        <v>4</v>
      </c>
      <c r="E105" s="10">
        <v>10.95</v>
      </c>
      <c r="F105" s="10">
        <v>41.5</v>
      </c>
    </row>
    <row r="106" spans="1:6" x14ac:dyDescent="0.25">
      <c r="A106" s="7">
        <v>104</v>
      </c>
      <c r="B106" s="8" t="s">
        <v>211</v>
      </c>
      <c r="C106" s="9" t="s">
        <v>212</v>
      </c>
      <c r="D106" s="7">
        <v>4</v>
      </c>
      <c r="E106" s="10">
        <v>36.72</v>
      </c>
      <c r="F106" s="10">
        <v>45.499997</v>
      </c>
    </row>
    <row r="107" spans="1:6" x14ac:dyDescent="0.25">
      <c r="A107" s="7">
        <v>105</v>
      </c>
      <c r="B107" s="8" t="s">
        <v>213</v>
      </c>
      <c r="C107" s="9" t="s">
        <v>214</v>
      </c>
      <c r="D107" s="7">
        <v>4</v>
      </c>
      <c r="E107" s="10">
        <v>143.88</v>
      </c>
      <c r="F107" s="10">
        <v>302</v>
      </c>
    </row>
    <row r="108" spans="1:6" x14ac:dyDescent="0.25">
      <c r="A108" s="7">
        <v>106</v>
      </c>
      <c r="B108" s="8" t="s">
        <v>215</v>
      </c>
      <c r="C108" s="9" t="s">
        <v>216</v>
      </c>
      <c r="D108" s="7">
        <v>4</v>
      </c>
      <c r="E108" s="10">
        <v>36.35</v>
      </c>
      <c r="F108" s="10">
        <v>56.787499250000003</v>
      </c>
    </row>
    <row r="109" spans="1:6" x14ac:dyDescent="0.25">
      <c r="A109" s="7">
        <v>107</v>
      </c>
      <c r="B109" s="8" t="s">
        <v>217</v>
      </c>
      <c r="C109" s="9" t="s">
        <v>218</v>
      </c>
      <c r="D109" s="7">
        <v>4</v>
      </c>
      <c r="E109" s="10">
        <v>66</v>
      </c>
      <c r="F109" s="10">
        <v>177.5</v>
      </c>
    </row>
    <row r="110" spans="1:6" x14ac:dyDescent="0.25">
      <c r="A110" s="7">
        <v>108</v>
      </c>
      <c r="B110" s="8" t="s">
        <v>219</v>
      </c>
      <c r="C110" s="9" t="s">
        <v>220</v>
      </c>
      <c r="D110" s="7">
        <v>4</v>
      </c>
      <c r="E110" s="10">
        <v>12.81</v>
      </c>
      <c r="F110" s="10">
        <v>24.074821499999999</v>
      </c>
    </row>
    <row r="111" spans="1:6" x14ac:dyDescent="0.25">
      <c r="A111" s="7">
        <v>109</v>
      </c>
      <c r="B111" s="8" t="s">
        <v>221</v>
      </c>
      <c r="C111" s="9" t="s">
        <v>222</v>
      </c>
      <c r="D111" s="7">
        <v>4</v>
      </c>
      <c r="E111" s="10">
        <v>31.06</v>
      </c>
      <c r="F111" s="10">
        <v>75</v>
      </c>
    </row>
    <row r="112" spans="1:6" x14ac:dyDescent="0.25">
      <c r="A112" s="7">
        <v>110</v>
      </c>
      <c r="B112" s="8" t="s">
        <v>223</v>
      </c>
      <c r="C112" s="9" t="s">
        <v>224</v>
      </c>
      <c r="D112" s="7">
        <v>4</v>
      </c>
      <c r="E112" s="10">
        <v>12.82</v>
      </c>
      <c r="F112" s="10">
        <v>26.5</v>
      </c>
    </row>
    <row r="113" spans="1:6" x14ac:dyDescent="0.25">
      <c r="A113" s="7">
        <v>111</v>
      </c>
      <c r="B113" s="8" t="s">
        <v>225</v>
      </c>
      <c r="C113" s="9" t="s">
        <v>226</v>
      </c>
      <c r="D113" s="7">
        <v>4</v>
      </c>
      <c r="E113" s="10">
        <v>112.28</v>
      </c>
      <c r="F113" s="10">
        <v>192</v>
      </c>
    </row>
    <row r="114" spans="1:6" x14ac:dyDescent="0.25">
      <c r="A114" s="7">
        <v>112</v>
      </c>
      <c r="B114" s="8" t="s">
        <v>227</v>
      </c>
      <c r="C114" s="9" t="s">
        <v>228</v>
      </c>
      <c r="D114" s="7">
        <v>4</v>
      </c>
      <c r="E114" s="10">
        <v>13.61</v>
      </c>
      <c r="F114" s="10">
        <v>26.5</v>
      </c>
    </row>
    <row r="115" spans="1:6" x14ac:dyDescent="0.25">
      <c r="A115" s="7">
        <v>113</v>
      </c>
      <c r="B115" s="8" t="s">
        <v>229</v>
      </c>
      <c r="C115" s="9" t="s">
        <v>230</v>
      </c>
      <c r="D115" s="7">
        <v>4</v>
      </c>
      <c r="E115" s="10">
        <v>70</v>
      </c>
      <c r="F115" s="10">
        <v>129</v>
      </c>
    </row>
    <row r="116" spans="1:6" x14ac:dyDescent="0.25">
      <c r="A116" s="7">
        <v>114</v>
      </c>
      <c r="B116" s="8" t="s">
        <v>231</v>
      </c>
      <c r="C116" s="9" t="s">
        <v>232</v>
      </c>
      <c r="D116" s="7">
        <v>4</v>
      </c>
      <c r="E116" s="10">
        <v>64.81</v>
      </c>
      <c r="F116" s="10">
        <v>135.074973</v>
      </c>
    </row>
    <row r="117" spans="1:6" x14ac:dyDescent="0.25">
      <c r="A117" s="7">
        <v>115</v>
      </c>
      <c r="B117" s="8" t="s">
        <v>233</v>
      </c>
      <c r="C117" s="9" t="s">
        <v>234</v>
      </c>
      <c r="D117" s="7">
        <v>4</v>
      </c>
      <c r="E117" s="10">
        <v>30.13</v>
      </c>
      <c r="F117" s="10">
        <v>66.257500750000005</v>
      </c>
    </row>
    <row r="118" spans="1:6" x14ac:dyDescent="0.25">
      <c r="A118" s="7">
        <v>116</v>
      </c>
      <c r="B118" s="8" t="s">
        <v>235</v>
      </c>
      <c r="C118" s="9" t="s">
        <v>236</v>
      </c>
      <c r="D118" s="7">
        <v>4</v>
      </c>
      <c r="E118" s="10">
        <v>64.575000000000003</v>
      </c>
      <c r="F118" s="10">
        <v>137.5</v>
      </c>
    </row>
    <row r="119" spans="1:6" x14ac:dyDescent="0.25">
      <c r="A119" s="7">
        <v>117</v>
      </c>
      <c r="B119" s="8" t="s">
        <v>237</v>
      </c>
      <c r="C119" s="9" t="s">
        <v>238</v>
      </c>
      <c r="D119" s="7">
        <v>4</v>
      </c>
      <c r="E119" s="10">
        <v>25.42</v>
      </c>
      <c r="F119" s="10">
        <v>79</v>
      </c>
    </row>
    <row r="120" spans="1:6" x14ac:dyDescent="0.25">
      <c r="A120" s="7">
        <v>118</v>
      </c>
      <c r="B120" s="8" t="s">
        <v>239</v>
      </c>
      <c r="C120" s="9" t="s">
        <v>240</v>
      </c>
      <c r="D120" s="7">
        <v>4</v>
      </c>
      <c r="E120" s="10">
        <v>69.805000000000007</v>
      </c>
      <c r="F120" s="10">
        <v>117.85000124999999</v>
      </c>
    </row>
    <row r="121" spans="1:6" x14ac:dyDescent="0.25">
      <c r="A121" s="7">
        <v>119</v>
      </c>
      <c r="B121" s="8" t="s">
        <v>241</v>
      </c>
      <c r="C121" s="9" t="s">
        <v>242</v>
      </c>
      <c r="D121" s="7">
        <v>4</v>
      </c>
      <c r="E121" s="10">
        <v>25.42</v>
      </c>
      <c r="F121" s="10">
        <v>64</v>
      </c>
    </row>
    <row r="122" spans="1:6" x14ac:dyDescent="0.25">
      <c r="A122" s="7">
        <v>120</v>
      </c>
      <c r="B122" s="8" t="s">
        <v>243</v>
      </c>
      <c r="C122" s="9" t="s">
        <v>244</v>
      </c>
      <c r="D122" s="7">
        <v>4</v>
      </c>
      <c r="E122" s="10">
        <v>28.72</v>
      </c>
      <c r="F122" s="10">
        <v>73.212500000000006</v>
      </c>
    </row>
    <row r="123" spans="1:6" x14ac:dyDescent="0.25">
      <c r="A123" s="7">
        <v>121</v>
      </c>
      <c r="B123" s="8" t="s">
        <v>245</v>
      </c>
      <c r="C123" s="9" t="s">
        <v>246</v>
      </c>
      <c r="D123" s="7">
        <v>4</v>
      </c>
      <c r="E123" s="10">
        <v>67.900000000000006</v>
      </c>
      <c r="F123" s="10">
        <v>129</v>
      </c>
    </row>
    <row r="124" spans="1:6" x14ac:dyDescent="0.25">
      <c r="A124" s="7">
        <v>122</v>
      </c>
      <c r="B124" s="8" t="s">
        <v>247</v>
      </c>
      <c r="C124" s="9" t="s">
        <v>248</v>
      </c>
      <c r="D124" s="7">
        <v>4</v>
      </c>
      <c r="E124" s="10">
        <v>71.94</v>
      </c>
      <c r="F124" s="10">
        <v>164.67749999999998</v>
      </c>
    </row>
    <row r="125" spans="1:6" x14ac:dyDescent="0.25">
      <c r="A125" s="7">
        <v>123</v>
      </c>
      <c r="B125" s="8" t="s">
        <v>249</v>
      </c>
      <c r="C125" s="9" t="s">
        <v>250</v>
      </c>
      <c r="D125" s="7">
        <v>4</v>
      </c>
      <c r="E125" s="10">
        <v>120.75</v>
      </c>
      <c r="F125" s="10">
        <v>209.625</v>
      </c>
    </row>
    <row r="126" spans="1:6" x14ac:dyDescent="0.25">
      <c r="A126" s="7">
        <v>124</v>
      </c>
      <c r="B126" s="8" t="s">
        <v>251</v>
      </c>
      <c r="C126" s="9" t="s">
        <v>252</v>
      </c>
      <c r="D126" s="7">
        <v>4</v>
      </c>
      <c r="E126" s="10">
        <v>63.88</v>
      </c>
      <c r="F126" s="10">
        <v>114</v>
      </c>
    </row>
    <row r="127" spans="1:6" x14ac:dyDescent="0.25">
      <c r="A127" s="7">
        <v>125</v>
      </c>
      <c r="B127" s="8" t="s">
        <v>253</v>
      </c>
      <c r="C127" s="9" t="s">
        <v>254</v>
      </c>
      <c r="D127" s="7">
        <v>4</v>
      </c>
      <c r="E127" s="10">
        <v>137.49</v>
      </c>
      <c r="F127" s="10">
        <v>284.99999875000003</v>
      </c>
    </row>
    <row r="128" spans="1:6" x14ac:dyDescent="0.25">
      <c r="A128" s="7">
        <v>126</v>
      </c>
      <c r="B128" s="8" t="s">
        <v>255</v>
      </c>
      <c r="C128" s="9" t="s">
        <v>256</v>
      </c>
      <c r="D128" s="7">
        <v>4</v>
      </c>
      <c r="E128" s="10">
        <v>71.94</v>
      </c>
      <c r="F128" s="10">
        <v>159.87500075</v>
      </c>
    </row>
    <row r="129" spans="1:6" x14ac:dyDescent="0.25">
      <c r="A129" s="7">
        <v>127</v>
      </c>
      <c r="B129" s="8" t="s">
        <v>257</v>
      </c>
      <c r="C129" s="9" t="s">
        <v>258</v>
      </c>
      <c r="D129" s="7">
        <v>4</v>
      </c>
      <c r="E129" s="10">
        <v>25.42</v>
      </c>
      <c r="F129" s="10">
        <v>67.5</v>
      </c>
    </row>
    <row r="130" spans="1:6" x14ac:dyDescent="0.25">
      <c r="A130" s="7">
        <v>128</v>
      </c>
      <c r="B130" s="8" t="s">
        <v>259</v>
      </c>
      <c r="C130" s="9" t="s">
        <v>260</v>
      </c>
      <c r="D130" s="7">
        <v>3</v>
      </c>
      <c r="E130" s="10">
        <v>28.22</v>
      </c>
      <c r="F130" s="10">
        <v>79</v>
      </c>
    </row>
    <row r="131" spans="1:6" x14ac:dyDescent="0.25">
      <c r="A131" s="7">
        <v>129</v>
      </c>
      <c r="B131" s="8" t="s">
        <v>261</v>
      </c>
      <c r="C131" s="9" t="s">
        <v>262</v>
      </c>
      <c r="D131" s="7">
        <v>3</v>
      </c>
      <c r="E131" s="10">
        <v>50.75333333333333</v>
      </c>
      <c r="F131" s="10">
        <v>112.90000000000002</v>
      </c>
    </row>
    <row r="132" spans="1:6" x14ac:dyDescent="0.25">
      <c r="A132" s="7">
        <v>130</v>
      </c>
      <c r="B132" s="8" t="s">
        <v>263</v>
      </c>
      <c r="C132" s="9" t="s">
        <v>264</v>
      </c>
      <c r="D132" s="7">
        <v>3</v>
      </c>
      <c r="E132" s="10">
        <v>94.54</v>
      </c>
      <c r="F132" s="10">
        <v>181.33333333333334</v>
      </c>
    </row>
    <row r="133" spans="1:6" x14ac:dyDescent="0.25">
      <c r="A133" s="7">
        <v>131</v>
      </c>
      <c r="B133" s="8" t="s">
        <v>265</v>
      </c>
      <c r="C133" s="9" t="s">
        <v>266</v>
      </c>
      <c r="D133" s="7">
        <v>3</v>
      </c>
      <c r="E133" s="10">
        <v>32.26</v>
      </c>
      <c r="F133" s="10">
        <v>42.350001999999996</v>
      </c>
    </row>
    <row r="134" spans="1:6" x14ac:dyDescent="0.25">
      <c r="A134" s="7">
        <v>132</v>
      </c>
      <c r="B134" s="8" t="s">
        <v>267</v>
      </c>
      <c r="C134" s="9" t="s">
        <v>268</v>
      </c>
      <c r="D134" s="7">
        <v>3</v>
      </c>
      <c r="E134" s="10">
        <v>41.93333333333333</v>
      </c>
      <c r="F134" s="10">
        <v>85</v>
      </c>
    </row>
    <row r="135" spans="1:6" x14ac:dyDescent="0.25">
      <c r="A135" s="7">
        <v>133</v>
      </c>
      <c r="B135" s="8" t="s">
        <v>269</v>
      </c>
      <c r="C135" s="9" t="s">
        <v>270</v>
      </c>
      <c r="D135" s="7">
        <v>3</v>
      </c>
      <c r="E135" s="10">
        <v>34.18</v>
      </c>
      <c r="F135" s="10">
        <v>42.350001999999996</v>
      </c>
    </row>
    <row r="136" spans="1:6" x14ac:dyDescent="0.25">
      <c r="A136" s="7">
        <v>134</v>
      </c>
      <c r="B136" s="8" t="s">
        <v>271</v>
      </c>
      <c r="C136" s="9" t="s">
        <v>272</v>
      </c>
      <c r="D136" s="7">
        <v>3</v>
      </c>
      <c r="E136" s="10">
        <v>95.910000000000011</v>
      </c>
      <c r="F136" s="10">
        <v>167.000001</v>
      </c>
    </row>
    <row r="137" spans="1:6" x14ac:dyDescent="0.25">
      <c r="A137" s="7">
        <v>135</v>
      </c>
      <c r="B137" s="8" t="s">
        <v>273</v>
      </c>
      <c r="C137" s="9" t="s">
        <v>274</v>
      </c>
      <c r="D137" s="7">
        <v>3</v>
      </c>
      <c r="E137" s="10">
        <v>34.18</v>
      </c>
      <c r="F137" s="10">
        <v>42.350001999999996</v>
      </c>
    </row>
    <row r="138" spans="1:6" x14ac:dyDescent="0.25">
      <c r="A138" s="7">
        <v>136</v>
      </c>
      <c r="B138" s="8" t="s">
        <v>275</v>
      </c>
      <c r="C138" s="9" t="s">
        <v>276</v>
      </c>
      <c r="D138" s="7">
        <v>3</v>
      </c>
      <c r="E138" s="10">
        <v>72.91</v>
      </c>
      <c r="F138" s="10">
        <v>151.33333333333334</v>
      </c>
    </row>
    <row r="139" spans="1:6" x14ac:dyDescent="0.25">
      <c r="A139" s="7">
        <v>137</v>
      </c>
      <c r="B139" s="8" t="s">
        <v>277</v>
      </c>
      <c r="C139" s="9" t="s">
        <v>278</v>
      </c>
      <c r="D139" s="7">
        <v>3</v>
      </c>
      <c r="E139" s="10">
        <v>44.919999999999995</v>
      </c>
      <c r="F139" s="10">
        <v>79.712527666666674</v>
      </c>
    </row>
    <row r="140" spans="1:6" x14ac:dyDescent="0.25">
      <c r="A140" s="7">
        <v>138</v>
      </c>
      <c r="B140" s="8" t="s">
        <v>279</v>
      </c>
      <c r="C140" s="9" t="s">
        <v>280</v>
      </c>
      <c r="D140" s="7">
        <v>3</v>
      </c>
      <c r="E140" s="10">
        <v>49.846666666666664</v>
      </c>
      <c r="F140" s="10">
        <v>109.13666666666666</v>
      </c>
    </row>
    <row r="141" spans="1:6" x14ac:dyDescent="0.25">
      <c r="A141" s="7">
        <v>139</v>
      </c>
      <c r="B141" s="8" t="s">
        <v>281</v>
      </c>
      <c r="C141" s="9" t="s">
        <v>282</v>
      </c>
      <c r="D141" s="7">
        <v>3</v>
      </c>
      <c r="E141" s="10">
        <v>536.02</v>
      </c>
      <c r="F141" s="10">
        <v>741.6</v>
      </c>
    </row>
    <row r="142" spans="1:6" x14ac:dyDescent="0.25">
      <c r="A142" s="7">
        <v>140</v>
      </c>
      <c r="B142" s="8" t="s">
        <v>283</v>
      </c>
      <c r="C142" s="9" t="s">
        <v>284</v>
      </c>
      <c r="D142" s="7">
        <v>3</v>
      </c>
      <c r="E142" s="10">
        <v>39.926666666666669</v>
      </c>
      <c r="F142" s="10">
        <v>119</v>
      </c>
    </row>
    <row r="143" spans="1:6" x14ac:dyDescent="0.25">
      <c r="A143" s="7">
        <v>141</v>
      </c>
      <c r="B143" s="8" t="s">
        <v>285</v>
      </c>
      <c r="C143" s="9" t="s">
        <v>286</v>
      </c>
      <c r="D143" s="7">
        <v>3</v>
      </c>
      <c r="E143" s="10">
        <v>109.11333333333334</v>
      </c>
      <c r="F143" s="10">
        <v>189</v>
      </c>
    </row>
    <row r="144" spans="1:6" x14ac:dyDescent="0.25">
      <c r="A144" s="7">
        <v>142</v>
      </c>
      <c r="B144" s="8" t="s">
        <v>287</v>
      </c>
      <c r="C144" s="9" t="s">
        <v>288</v>
      </c>
      <c r="D144" s="7">
        <v>3</v>
      </c>
      <c r="E144" s="10">
        <v>16.72</v>
      </c>
      <c r="F144" s="10">
        <v>59</v>
      </c>
    </row>
    <row r="145" spans="1:6" x14ac:dyDescent="0.25">
      <c r="A145" s="7">
        <v>143</v>
      </c>
      <c r="B145" s="8" t="s">
        <v>289</v>
      </c>
      <c r="C145" s="9" t="s">
        <v>290</v>
      </c>
      <c r="D145" s="7">
        <v>3</v>
      </c>
      <c r="E145" s="10">
        <v>16.72</v>
      </c>
      <c r="F145" s="10">
        <v>52</v>
      </c>
    </row>
    <row r="146" spans="1:6" x14ac:dyDescent="0.25">
      <c r="A146" s="7">
        <v>144</v>
      </c>
      <c r="B146" s="8" t="s">
        <v>291</v>
      </c>
      <c r="C146" s="9" t="s">
        <v>292</v>
      </c>
      <c r="D146" s="7">
        <v>3</v>
      </c>
      <c r="E146" s="10">
        <v>49.72</v>
      </c>
      <c r="F146" s="10">
        <v>128.05142333333333</v>
      </c>
    </row>
    <row r="147" spans="1:6" x14ac:dyDescent="0.25">
      <c r="A147" s="7">
        <v>145</v>
      </c>
      <c r="B147" s="8" t="s">
        <v>293</v>
      </c>
      <c r="C147" s="9" t="s">
        <v>294</v>
      </c>
      <c r="D147" s="7">
        <v>3</v>
      </c>
      <c r="E147" s="10">
        <v>165.25</v>
      </c>
      <c r="F147" s="10">
        <v>305</v>
      </c>
    </row>
    <row r="148" spans="1:6" x14ac:dyDescent="0.25">
      <c r="A148" s="7">
        <v>146</v>
      </c>
      <c r="B148" s="8" t="s">
        <v>295</v>
      </c>
      <c r="C148" s="9" t="s">
        <v>296</v>
      </c>
      <c r="D148" s="7">
        <v>3</v>
      </c>
      <c r="E148" s="10">
        <v>10.949999999999998</v>
      </c>
      <c r="F148" s="10">
        <v>40.666666666666664</v>
      </c>
    </row>
    <row r="149" spans="1:6" x14ac:dyDescent="0.25">
      <c r="A149" s="7">
        <v>147</v>
      </c>
      <c r="B149" s="8" t="s">
        <v>297</v>
      </c>
      <c r="C149" s="9" t="s">
        <v>298</v>
      </c>
      <c r="D149" s="7">
        <v>3</v>
      </c>
      <c r="E149" s="10">
        <v>44.41</v>
      </c>
      <c r="F149" s="10">
        <v>105</v>
      </c>
    </row>
    <row r="150" spans="1:6" x14ac:dyDescent="0.25">
      <c r="A150" s="7">
        <v>148</v>
      </c>
      <c r="B150" s="8" t="s">
        <v>299</v>
      </c>
      <c r="C150" s="9" t="s">
        <v>300</v>
      </c>
      <c r="D150" s="7">
        <v>3</v>
      </c>
      <c r="E150" s="10">
        <v>0</v>
      </c>
      <c r="F150" s="10">
        <v>0</v>
      </c>
    </row>
    <row r="151" spans="1:6" x14ac:dyDescent="0.25">
      <c r="A151" s="7">
        <v>149</v>
      </c>
      <c r="B151" s="8" t="s">
        <v>301</v>
      </c>
      <c r="C151" s="9" t="s">
        <v>302</v>
      </c>
      <c r="D151" s="7">
        <v>3</v>
      </c>
      <c r="E151" s="10">
        <v>16.72</v>
      </c>
      <c r="F151" s="10">
        <v>52</v>
      </c>
    </row>
    <row r="152" spans="1:6" x14ac:dyDescent="0.25">
      <c r="A152" s="7">
        <v>150</v>
      </c>
      <c r="B152" s="8" t="s">
        <v>303</v>
      </c>
      <c r="C152" s="9" t="s">
        <v>304</v>
      </c>
      <c r="D152" s="7">
        <v>3</v>
      </c>
      <c r="E152" s="10">
        <v>27.84</v>
      </c>
      <c r="F152" s="10">
        <v>69.600000000000009</v>
      </c>
    </row>
    <row r="153" spans="1:6" x14ac:dyDescent="0.25">
      <c r="A153" s="7">
        <v>151</v>
      </c>
      <c r="B153" s="8" t="s">
        <v>305</v>
      </c>
      <c r="C153" s="9" t="s">
        <v>306</v>
      </c>
      <c r="D153" s="7">
        <v>3</v>
      </c>
      <c r="E153" s="10">
        <v>87.65333333333335</v>
      </c>
      <c r="F153" s="10">
        <v>179</v>
      </c>
    </row>
    <row r="154" spans="1:6" x14ac:dyDescent="0.25">
      <c r="A154" s="7">
        <v>152</v>
      </c>
      <c r="B154" s="8" t="s">
        <v>307</v>
      </c>
      <c r="C154" s="9" t="s">
        <v>308</v>
      </c>
      <c r="D154" s="7">
        <v>3</v>
      </c>
      <c r="E154" s="10">
        <v>61.84</v>
      </c>
      <c r="F154" s="10">
        <v>135.23000099999999</v>
      </c>
    </row>
    <row r="155" spans="1:6" x14ac:dyDescent="0.25">
      <c r="A155" s="7">
        <v>153</v>
      </c>
      <c r="B155" s="8" t="s">
        <v>309</v>
      </c>
      <c r="C155" s="9" t="s">
        <v>310</v>
      </c>
      <c r="D155" s="7">
        <v>3</v>
      </c>
      <c r="E155" s="10">
        <v>164.31</v>
      </c>
      <c r="F155" s="10">
        <v>288.69147100000004</v>
      </c>
    </row>
    <row r="156" spans="1:6" x14ac:dyDescent="0.25">
      <c r="A156" s="7">
        <v>154</v>
      </c>
      <c r="B156" s="8" t="s">
        <v>311</v>
      </c>
      <c r="C156" s="9" t="s">
        <v>312</v>
      </c>
      <c r="D156" s="7">
        <v>3</v>
      </c>
      <c r="E156" s="10">
        <v>36.51</v>
      </c>
      <c r="F156" s="10">
        <v>83.333333333333329</v>
      </c>
    </row>
    <row r="157" spans="1:6" x14ac:dyDescent="0.25">
      <c r="A157" s="7">
        <v>155</v>
      </c>
      <c r="B157" s="8" t="s">
        <v>313</v>
      </c>
      <c r="C157" s="9" t="s">
        <v>314</v>
      </c>
      <c r="D157" s="7">
        <v>3</v>
      </c>
      <c r="E157" s="10">
        <v>18.940000000000001</v>
      </c>
      <c r="F157" s="10">
        <v>52</v>
      </c>
    </row>
    <row r="158" spans="1:6" x14ac:dyDescent="0.25">
      <c r="A158" s="7">
        <v>156</v>
      </c>
      <c r="B158" s="8" t="s">
        <v>315</v>
      </c>
      <c r="C158" s="9" t="s">
        <v>316</v>
      </c>
      <c r="D158" s="7">
        <v>3</v>
      </c>
      <c r="E158" s="10">
        <v>77.959999999999994</v>
      </c>
      <c r="F158" s="10">
        <v>121.72025466666666</v>
      </c>
    </row>
    <row r="159" spans="1:6" x14ac:dyDescent="0.25">
      <c r="A159" s="7">
        <v>157</v>
      </c>
      <c r="B159" s="9" t="s">
        <v>317</v>
      </c>
      <c r="C159" s="9" t="s">
        <v>318</v>
      </c>
      <c r="D159" s="7">
        <v>3</v>
      </c>
      <c r="E159" s="10">
        <v>35.396666666666668</v>
      </c>
      <c r="F159" s="10">
        <v>76.233333333333334</v>
      </c>
    </row>
    <row r="160" spans="1:6" x14ac:dyDescent="0.25">
      <c r="A160" s="7">
        <v>158</v>
      </c>
      <c r="B160" s="9" t="s">
        <v>319</v>
      </c>
      <c r="C160" s="9" t="s">
        <v>320</v>
      </c>
      <c r="D160" s="7">
        <v>3</v>
      </c>
      <c r="E160" s="10">
        <v>34.53</v>
      </c>
      <c r="F160" s="10">
        <v>85.866666666666674</v>
      </c>
    </row>
    <row r="161" spans="1:6" x14ac:dyDescent="0.25">
      <c r="A161" s="7">
        <v>159</v>
      </c>
      <c r="B161" s="9" t="s">
        <v>321</v>
      </c>
      <c r="C161" s="9" t="s">
        <v>322</v>
      </c>
      <c r="D161" s="7">
        <v>3</v>
      </c>
      <c r="E161" s="10">
        <v>70</v>
      </c>
      <c r="F161" s="10">
        <v>124.7</v>
      </c>
    </row>
    <row r="162" spans="1:6" x14ac:dyDescent="0.25">
      <c r="A162" s="7">
        <v>160</v>
      </c>
      <c r="B162" s="9" t="s">
        <v>323</v>
      </c>
      <c r="C162" s="9" t="s">
        <v>324</v>
      </c>
      <c r="D162" s="7">
        <v>3</v>
      </c>
      <c r="E162" s="10">
        <v>32.82</v>
      </c>
      <c r="F162" s="10">
        <v>68.603333333333339</v>
      </c>
    </row>
    <row r="163" spans="1:6" x14ac:dyDescent="0.25">
      <c r="A163" s="7">
        <v>161</v>
      </c>
      <c r="B163" s="9" t="s">
        <v>325</v>
      </c>
      <c r="C163" s="9" t="s">
        <v>326</v>
      </c>
      <c r="D163" s="7">
        <v>3</v>
      </c>
      <c r="E163" s="10">
        <v>67.39</v>
      </c>
      <c r="F163" s="10">
        <v>141.66666666666666</v>
      </c>
    </row>
    <row r="164" spans="1:6" x14ac:dyDescent="0.25">
      <c r="A164" s="7">
        <v>162</v>
      </c>
      <c r="B164" s="9" t="s">
        <v>327</v>
      </c>
      <c r="C164" s="9" t="s">
        <v>328</v>
      </c>
      <c r="D164" s="7">
        <v>3</v>
      </c>
      <c r="E164" s="10">
        <v>65.55</v>
      </c>
      <c r="F164" s="10">
        <v>183.57000000000002</v>
      </c>
    </row>
    <row r="165" spans="1:6" x14ac:dyDescent="0.25">
      <c r="A165" s="7">
        <v>163</v>
      </c>
      <c r="B165" s="9" t="s">
        <v>329</v>
      </c>
      <c r="C165" s="9" t="s">
        <v>330</v>
      </c>
      <c r="D165" s="7">
        <v>3</v>
      </c>
      <c r="E165" s="10">
        <v>123</v>
      </c>
      <c r="F165" s="10">
        <v>203.93333333333331</v>
      </c>
    </row>
    <row r="166" spans="1:6" x14ac:dyDescent="0.25">
      <c r="A166" s="7">
        <v>164</v>
      </c>
      <c r="B166" s="9" t="s">
        <v>331</v>
      </c>
      <c r="C166" s="9" t="s">
        <v>332</v>
      </c>
      <c r="D166" s="7">
        <v>3</v>
      </c>
      <c r="E166" s="10">
        <v>101.86</v>
      </c>
      <c r="F166" s="10">
        <v>205</v>
      </c>
    </row>
    <row r="167" spans="1:6" x14ac:dyDescent="0.25">
      <c r="A167" s="7">
        <v>165</v>
      </c>
      <c r="B167" s="9" t="s">
        <v>333</v>
      </c>
      <c r="C167" s="9" t="s">
        <v>334</v>
      </c>
      <c r="D167" s="7">
        <v>3</v>
      </c>
      <c r="E167" s="10">
        <v>68.2</v>
      </c>
      <c r="F167" s="10">
        <v>116</v>
      </c>
    </row>
    <row r="168" spans="1:6" x14ac:dyDescent="0.25">
      <c r="A168" s="7">
        <v>166</v>
      </c>
      <c r="B168" s="9" t="s">
        <v>335</v>
      </c>
      <c r="C168" s="9" t="s">
        <v>336</v>
      </c>
      <c r="D168" s="7">
        <v>3</v>
      </c>
      <c r="E168" s="10">
        <v>113.51</v>
      </c>
      <c r="F168" s="10">
        <v>189.66666666666666</v>
      </c>
    </row>
    <row r="169" spans="1:6" x14ac:dyDescent="0.25">
      <c r="A169" s="7">
        <v>167</v>
      </c>
      <c r="B169" s="9" t="s">
        <v>337</v>
      </c>
      <c r="C169" s="9" t="s">
        <v>338</v>
      </c>
      <c r="D169" s="7">
        <v>3</v>
      </c>
      <c r="E169" s="10">
        <v>123</v>
      </c>
      <c r="F169" s="10">
        <v>203.23666666666668</v>
      </c>
    </row>
    <row r="170" spans="1:6" x14ac:dyDescent="0.25">
      <c r="A170" s="7">
        <v>168</v>
      </c>
      <c r="B170" s="9" t="s">
        <v>339</v>
      </c>
      <c r="C170" s="9" t="s">
        <v>340</v>
      </c>
      <c r="D170" s="7">
        <v>3</v>
      </c>
      <c r="E170" s="10">
        <v>113.20333333333333</v>
      </c>
      <c r="F170" s="10">
        <v>198</v>
      </c>
    </row>
    <row r="171" spans="1:6" x14ac:dyDescent="0.25">
      <c r="A171" s="7">
        <v>169</v>
      </c>
      <c r="B171" s="9" t="s">
        <v>341</v>
      </c>
      <c r="C171" s="9" t="s">
        <v>342</v>
      </c>
      <c r="D171" s="7">
        <v>3</v>
      </c>
      <c r="E171" s="10">
        <v>13.166666666666666</v>
      </c>
      <c r="F171" s="10">
        <v>26.5</v>
      </c>
    </row>
    <row r="172" spans="1:6" x14ac:dyDescent="0.25">
      <c r="A172" s="7">
        <v>170</v>
      </c>
      <c r="B172" s="9" t="s">
        <v>343</v>
      </c>
      <c r="C172" s="9" t="s">
        <v>344</v>
      </c>
      <c r="D172" s="7">
        <v>3</v>
      </c>
      <c r="E172" s="10">
        <v>30.13</v>
      </c>
      <c r="F172" s="10">
        <v>37.32</v>
      </c>
    </row>
    <row r="173" spans="1:6" x14ac:dyDescent="0.25">
      <c r="A173" s="7">
        <v>171</v>
      </c>
      <c r="B173" s="9" t="s">
        <v>345</v>
      </c>
      <c r="C173" s="9" t="s">
        <v>346</v>
      </c>
      <c r="D173" s="7">
        <v>3</v>
      </c>
      <c r="E173" s="10">
        <v>13.61</v>
      </c>
      <c r="F173" s="10">
        <v>26.5</v>
      </c>
    </row>
    <row r="174" spans="1:6" x14ac:dyDescent="0.25">
      <c r="A174" s="7">
        <v>172</v>
      </c>
      <c r="B174" s="9" t="s">
        <v>347</v>
      </c>
      <c r="C174" s="9" t="s">
        <v>348</v>
      </c>
      <c r="D174" s="7">
        <v>3</v>
      </c>
      <c r="E174" s="10">
        <v>31.290000000000003</v>
      </c>
      <c r="F174" s="10">
        <v>67.086667666666671</v>
      </c>
    </row>
    <row r="175" spans="1:6" x14ac:dyDescent="0.25">
      <c r="A175" s="7">
        <v>173</v>
      </c>
      <c r="B175" s="9" t="s">
        <v>349</v>
      </c>
      <c r="C175" s="9" t="s">
        <v>350</v>
      </c>
      <c r="D175" s="7">
        <v>3</v>
      </c>
      <c r="E175" s="10">
        <v>13.530000000000001</v>
      </c>
      <c r="F175" s="10">
        <v>23.696666666666669</v>
      </c>
    </row>
    <row r="176" spans="1:6" x14ac:dyDescent="0.25">
      <c r="A176" s="7">
        <v>174</v>
      </c>
      <c r="B176" s="9" t="s">
        <v>351</v>
      </c>
      <c r="C176" s="9" t="s">
        <v>352</v>
      </c>
      <c r="D176" s="7">
        <v>3</v>
      </c>
      <c r="E176" s="10">
        <v>39.28</v>
      </c>
      <c r="F176" s="10">
        <v>65.440003333333337</v>
      </c>
    </row>
    <row r="177" spans="1:6" x14ac:dyDescent="0.25">
      <c r="A177" s="7">
        <v>175</v>
      </c>
      <c r="B177" s="9" t="s">
        <v>353</v>
      </c>
      <c r="C177" s="9" t="s">
        <v>354</v>
      </c>
      <c r="D177" s="7">
        <v>3</v>
      </c>
      <c r="E177" s="10">
        <v>105</v>
      </c>
      <c r="F177" s="10">
        <v>186.83333333333334</v>
      </c>
    </row>
    <row r="178" spans="1:6" x14ac:dyDescent="0.25">
      <c r="A178" s="7">
        <v>176</v>
      </c>
      <c r="B178" s="9" t="s">
        <v>355</v>
      </c>
      <c r="C178" s="9" t="s">
        <v>356</v>
      </c>
      <c r="D178" s="7">
        <v>3</v>
      </c>
      <c r="E178" s="10">
        <v>56.49</v>
      </c>
      <c r="F178" s="10">
        <v>139</v>
      </c>
    </row>
    <row r="179" spans="1:6" x14ac:dyDescent="0.25">
      <c r="A179" s="7">
        <v>177</v>
      </c>
      <c r="B179" s="9" t="s">
        <v>357</v>
      </c>
      <c r="C179" s="9" t="s">
        <v>358</v>
      </c>
      <c r="D179" s="7">
        <v>3</v>
      </c>
      <c r="E179" s="10">
        <v>63</v>
      </c>
      <c r="F179" s="10">
        <v>112.13333333333333</v>
      </c>
    </row>
    <row r="180" spans="1:6" x14ac:dyDescent="0.25">
      <c r="A180" s="7">
        <v>178</v>
      </c>
      <c r="B180" s="9" t="s">
        <v>359</v>
      </c>
      <c r="C180" s="9" t="s">
        <v>360</v>
      </c>
      <c r="D180" s="7">
        <v>3</v>
      </c>
      <c r="E180" s="10">
        <v>25.42</v>
      </c>
      <c r="F180" s="10">
        <v>79</v>
      </c>
    </row>
    <row r="181" spans="1:6" x14ac:dyDescent="0.25">
      <c r="A181" s="7">
        <v>179</v>
      </c>
      <c r="B181" s="9" t="s">
        <v>361</v>
      </c>
      <c r="C181" s="9" t="s">
        <v>362</v>
      </c>
      <c r="D181" s="7">
        <v>3</v>
      </c>
      <c r="E181" s="10">
        <v>114</v>
      </c>
      <c r="F181" s="10">
        <v>207.33333333333334</v>
      </c>
    </row>
    <row r="182" spans="1:6" x14ac:dyDescent="0.25">
      <c r="A182" s="7">
        <v>180</v>
      </c>
      <c r="B182" s="9" t="s">
        <v>363</v>
      </c>
      <c r="C182" s="9" t="s">
        <v>364</v>
      </c>
      <c r="D182" s="7">
        <v>3</v>
      </c>
      <c r="E182" s="10">
        <v>25.42</v>
      </c>
      <c r="F182" s="10">
        <v>64.333333333333329</v>
      </c>
    </row>
    <row r="183" spans="1:6" x14ac:dyDescent="0.25">
      <c r="A183" s="7">
        <v>181</v>
      </c>
      <c r="B183" s="9" t="s">
        <v>365</v>
      </c>
      <c r="C183" s="9" t="s">
        <v>366</v>
      </c>
      <c r="D183" s="7">
        <v>3</v>
      </c>
      <c r="E183" s="10">
        <v>127.79333333333334</v>
      </c>
      <c r="F183" s="10">
        <v>291.66666466666669</v>
      </c>
    </row>
    <row r="184" spans="1:6" x14ac:dyDescent="0.25">
      <c r="A184" s="7">
        <v>182</v>
      </c>
      <c r="B184" s="9" t="s">
        <v>367</v>
      </c>
      <c r="C184" s="9" t="s">
        <v>368</v>
      </c>
      <c r="D184" s="7">
        <v>3</v>
      </c>
      <c r="E184" s="10">
        <v>69.06</v>
      </c>
      <c r="F184" s="10">
        <v>164.66666666666666</v>
      </c>
    </row>
    <row r="185" spans="1:6" x14ac:dyDescent="0.25">
      <c r="A185" s="7">
        <v>183</v>
      </c>
      <c r="B185" s="9" t="s">
        <v>369</v>
      </c>
      <c r="C185" s="9" t="s">
        <v>370</v>
      </c>
      <c r="D185" s="7">
        <v>2</v>
      </c>
      <c r="E185" s="10">
        <v>113.52</v>
      </c>
      <c r="F185" s="10">
        <v>199</v>
      </c>
    </row>
    <row r="186" spans="1:6" x14ac:dyDescent="0.25">
      <c r="A186" s="7">
        <v>184</v>
      </c>
      <c r="B186" s="9" t="s">
        <v>371</v>
      </c>
      <c r="C186" s="9" t="s">
        <v>372</v>
      </c>
      <c r="D186" s="7">
        <v>2</v>
      </c>
      <c r="E186" s="10">
        <v>64.959999999999994</v>
      </c>
      <c r="F186" s="10">
        <v>110</v>
      </c>
    </row>
    <row r="187" spans="1:6" x14ac:dyDescent="0.25">
      <c r="A187" s="7">
        <v>185</v>
      </c>
      <c r="B187" s="9" t="s">
        <v>373</v>
      </c>
      <c r="C187" s="9" t="s">
        <v>374</v>
      </c>
      <c r="D187" s="7">
        <v>2</v>
      </c>
      <c r="E187" s="10">
        <v>30.28</v>
      </c>
      <c r="F187" s="10">
        <v>69</v>
      </c>
    </row>
    <row r="188" spans="1:6" x14ac:dyDescent="0.25">
      <c r="A188" s="7">
        <v>186</v>
      </c>
      <c r="B188" s="9" t="s">
        <v>375</v>
      </c>
      <c r="C188" s="9" t="s">
        <v>376</v>
      </c>
      <c r="D188" s="7">
        <v>2</v>
      </c>
      <c r="E188" s="10">
        <v>16.72</v>
      </c>
      <c r="F188" s="10">
        <v>59</v>
      </c>
    </row>
    <row r="189" spans="1:6" x14ac:dyDescent="0.25">
      <c r="A189" s="7">
        <v>187</v>
      </c>
      <c r="B189" s="9" t="s">
        <v>377</v>
      </c>
      <c r="C189" s="9" t="s">
        <v>378</v>
      </c>
      <c r="D189" s="7">
        <v>2</v>
      </c>
      <c r="E189" s="10">
        <v>169.49</v>
      </c>
      <c r="F189" s="10">
        <v>289</v>
      </c>
    </row>
    <row r="190" spans="1:6" x14ac:dyDescent="0.25">
      <c r="A190" s="7">
        <v>188</v>
      </c>
      <c r="B190" s="9" t="s">
        <v>379</v>
      </c>
      <c r="C190" s="9" t="s">
        <v>380</v>
      </c>
      <c r="D190" s="7">
        <v>2</v>
      </c>
      <c r="E190" s="10">
        <v>77.97</v>
      </c>
      <c r="F190" s="10">
        <v>125.4</v>
      </c>
    </row>
    <row r="191" spans="1:6" x14ac:dyDescent="0.25">
      <c r="A191" s="7">
        <v>189</v>
      </c>
      <c r="B191" s="9" t="s">
        <v>381</v>
      </c>
      <c r="C191" s="9" t="s">
        <v>382</v>
      </c>
      <c r="D191" s="7">
        <v>2</v>
      </c>
      <c r="E191" s="10">
        <v>37.26</v>
      </c>
      <c r="F191" s="10">
        <v>85</v>
      </c>
    </row>
    <row r="192" spans="1:6" x14ac:dyDescent="0.25">
      <c r="A192" s="7">
        <v>190</v>
      </c>
      <c r="B192" s="9" t="s">
        <v>383</v>
      </c>
      <c r="C192" s="9" t="s">
        <v>384</v>
      </c>
      <c r="D192" s="7">
        <v>2</v>
      </c>
      <c r="E192" s="10">
        <v>77.97</v>
      </c>
      <c r="F192" s="10">
        <v>125.4</v>
      </c>
    </row>
    <row r="193" spans="1:6" x14ac:dyDescent="0.25">
      <c r="A193" s="7">
        <v>191</v>
      </c>
      <c r="B193" s="9" t="s">
        <v>385</v>
      </c>
      <c r="C193" s="9" t="s">
        <v>386</v>
      </c>
      <c r="D193" s="7">
        <v>2</v>
      </c>
      <c r="E193" s="10">
        <v>107.55</v>
      </c>
      <c r="F193" s="10">
        <v>210</v>
      </c>
    </row>
    <row r="194" spans="1:6" x14ac:dyDescent="0.25">
      <c r="A194" s="7">
        <v>192</v>
      </c>
      <c r="B194" s="9" t="s">
        <v>387</v>
      </c>
      <c r="C194" s="9" t="s">
        <v>388</v>
      </c>
      <c r="D194" s="7">
        <v>2</v>
      </c>
      <c r="E194" s="10">
        <v>34.18</v>
      </c>
      <c r="F194" s="10">
        <v>42.350002000000003</v>
      </c>
    </row>
    <row r="195" spans="1:6" x14ac:dyDescent="0.25">
      <c r="A195" s="7">
        <v>193</v>
      </c>
      <c r="B195" s="9" t="s">
        <v>389</v>
      </c>
      <c r="C195" s="9" t="s">
        <v>390</v>
      </c>
      <c r="D195" s="7">
        <v>2</v>
      </c>
      <c r="E195" s="10">
        <v>45.82</v>
      </c>
      <c r="F195" s="10">
        <v>105.255</v>
      </c>
    </row>
    <row r="196" spans="1:6" x14ac:dyDescent="0.25">
      <c r="A196" s="7">
        <v>194</v>
      </c>
      <c r="B196" s="9" t="s">
        <v>391</v>
      </c>
      <c r="C196" s="9" t="s">
        <v>392</v>
      </c>
      <c r="D196" s="7">
        <v>2</v>
      </c>
      <c r="E196" s="10">
        <v>99.15</v>
      </c>
      <c r="F196" s="10">
        <v>174</v>
      </c>
    </row>
    <row r="197" spans="1:6" x14ac:dyDescent="0.25">
      <c r="A197" s="7">
        <v>195</v>
      </c>
      <c r="B197" s="9" t="s">
        <v>393</v>
      </c>
      <c r="C197" s="9" t="s">
        <v>394</v>
      </c>
      <c r="D197" s="7">
        <v>2</v>
      </c>
      <c r="E197" s="10">
        <v>91.71</v>
      </c>
      <c r="F197" s="10">
        <v>189</v>
      </c>
    </row>
    <row r="198" spans="1:6" x14ac:dyDescent="0.25">
      <c r="A198" s="7">
        <v>196</v>
      </c>
      <c r="B198" s="9" t="s">
        <v>395</v>
      </c>
      <c r="C198" s="9" t="s">
        <v>396</v>
      </c>
      <c r="D198" s="7">
        <v>2</v>
      </c>
      <c r="E198" s="10">
        <v>61.07</v>
      </c>
      <c r="F198" s="10">
        <v>134.64500000000001</v>
      </c>
    </row>
    <row r="199" spans="1:6" x14ac:dyDescent="0.25">
      <c r="A199" s="7">
        <v>197</v>
      </c>
      <c r="B199" s="9" t="s">
        <v>397</v>
      </c>
      <c r="C199" s="9" t="s">
        <v>398</v>
      </c>
      <c r="D199" s="7">
        <v>2</v>
      </c>
      <c r="E199" s="10">
        <v>36.69</v>
      </c>
      <c r="F199" s="10">
        <v>79</v>
      </c>
    </row>
    <row r="200" spans="1:6" x14ac:dyDescent="0.25">
      <c r="A200" s="7">
        <v>198</v>
      </c>
      <c r="B200" s="9" t="s">
        <v>399</v>
      </c>
      <c r="C200" s="9" t="s">
        <v>400</v>
      </c>
      <c r="D200" s="7">
        <v>2</v>
      </c>
      <c r="E200" s="10">
        <v>51.41</v>
      </c>
      <c r="F200" s="10">
        <v>97</v>
      </c>
    </row>
    <row r="201" spans="1:6" x14ac:dyDescent="0.25">
      <c r="A201" s="7">
        <v>199</v>
      </c>
      <c r="B201" s="9" t="s">
        <v>401</v>
      </c>
      <c r="C201" s="9" t="s">
        <v>402</v>
      </c>
      <c r="D201" s="7">
        <v>2</v>
      </c>
      <c r="E201" s="10">
        <v>27.11</v>
      </c>
      <c r="F201" s="10">
        <v>47</v>
      </c>
    </row>
    <row r="202" spans="1:6" x14ac:dyDescent="0.25">
      <c r="A202" s="7">
        <v>200</v>
      </c>
      <c r="B202" s="9" t="s">
        <v>403</v>
      </c>
      <c r="C202" s="9" t="s">
        <v>404</v>
      </c>
      <c r="D202" s="7">
        <v>2</v>
      </c>
      <c r="E202" s="10">
        <v>77.959999999999994</v>
      </c>
      <c r="F202" s="10">
        <v>219</v>
      </c>
    </row>
    <row r="203" spans="1:6" x14ac:dyDescent="0.25">
      <c r="A203" s="7">
        <v>201</v>
      </c>
      <c r="B203" s="9" t="s">
        <v>405</v>
      </c>
      <c r="C203" s="9" t="s">
        <v>406</v>
      </c>
      <c r="D203" s="7">
        <v>2</v>
      </c>
      <c r="E203" s="10">
        <v>327.19</v>
      </c>
      <c r="F203" s="10">
        <v>538</v>
      </c>
    </row>
    <row r="204" spans="1:6" x14ac:dyDescent="0.25">
      <c r="A204" s="7">
        <v>202</v>
      </c>
      <c r="B204" s="9" t="s">
        <v>407</v>
      </c>
      <c r="C204" s="9" t="s">
        <v>408</v>
      </c>
      <c r="D204" s="7">
        <v>2</v>
      </c>
      <c r="E204" s="10">
        <v>56.28</v>
      </c>
      <c r="F204" s="10">
        <v>118</v>
      </c>
    </row>
    <row r="205" spans="1:6" x14ac:dyDescent="0.25">
      <c r="A205" s="7">
        <v>203</v>
      </c>
      <c r="B205" s="9" t="s">
        <v>409</v>
      </c>
      <c r="C205" s="9" t="s">
        <v>410</v>
      </c>
      <c r="D205" s="7">
        <v>2</v>
      </c>
      <c r="E205" s="10">
        <v>48.78</v>
      </c>
      <c r="F205" s="10">
        <v>112.9</v>
      </c>
    </row>
    <row r="206" spans="1:6" x14ac:dyDescent="0.25">
      <c r="A206" s="7">
        <v>204</v>
      </c>
      <c r="B206" s="9" t="s">
        <v>411</v>
      </c>
      <c r="C206" s="9" t="s">
        <v>412</v>
      </c>
      <c r="D206" s="7">
        <v>2</v>
      </c>
      <c r="E206" s="10">
        <v>197.78</v>
      </c>
      <c r="F206" s="10">
        <v>416.5</v>
      </c>
    </row>
    <row r="207" spans="1:6" x14ac:dyDescent="0.25">
      <c r="A207" s="7">
        <v>205</v>
      </c>
      <c r="B207" s="9" t="s">
        <v>413</v>
      </c>
      <c r="C207" s="9" t="s">
        <v>414</v>
      </c>
      <c r="D207" s="7">
        <v>2</v>
      </c>
      <c r="E207" s="10">
        <v>65.72</v>
      </c>
      <c r="F207" s="10">
        <v>132.05000000000001</v>
      </c>
    </row>
    <row r="208" spans="1:6" x14ac:dyDescent="0.25">
      <c r="A208" s="7">
        <v>206</v>
      </c>
      <c r="B208" s="9" t="s">
        <v>415</v>
      </c>
      <c r="C208" s="9" t="s">
        <v>416</v>
      </c>
      <c r="D208" s="7">
        <v>2</v>
      </c>
      <c r="E208" s="10">
        <v>68.64</v>
      </c>
      <c r="F208" s="10">
        <v>128</v>
      </c>
    </row>
    <row r="209" spans="1:6" x14ac:dyDescent="0.25">
      <c r="A209" s="7">
        <v>207</v>
      </c>
      <c r="B209" s="9" t="s">
        <v>417</v>
      </c>
      <c r="C209" s="9" t="s">
        <v>418</v>
      </c>
      <c r="D209" s="7">
        <v>2</v>
      </c>
      <c r="E209" s="10">
        <v>104.24</v>
      </c>
      <c r="F209" s="10">
        <v>171.12263150000001</v>
      </c>
    </row>
    <row r="210" spans="1:6" x14ac:dyDescent="0.25">
      <c r="A210" s="7">
        <v>208</v>
      </c>
      <c r="B210" s="9" t="s">
        <v>419</v>
      </c>
      <c r="C210" s="9" t="s">
        <v>420</v>
      </c>
      <c r="D210" s="7">
        <v>2</v>
      </c>
      <c r="E210" s="10">
        <v>233.89</v>
      </c>
      <c r="F210" s="10">
        <v>376.2</v>
      </c>
    </row>
    <row r="211" spans="1:6" x14ac:dyDescent="0.25">
      <c r="A211" s="7">
        <v>209</v>
      </c>
      <c r="B211" s="9" t="s">
        <v>421</v>
      </c>
      <c r="C211" s="9" t="s">
        <v>422</v>
      </c>
      <c r="D211" s="7">
        <v>2</v>
      </c>
      <c r="E211" s="10">
        <v>138.46</v>
      </c>
      <c r="F211" s="10">
        <v>238.016772</v>
      </c>
    </row>
    <row r="212" spans="1:6" x14ac:dyDescent="0.25">
      <c r="A212" s="7">
        <v>210</v>
      </c>
      <c r="B212" s="9" t="s">
        <v>423</v>
      </c>
      <c r="C212" s="9" t="s">
        <v>424</v>
      </c>
      <c r="D212" s="7">
        <v>2</v>
      </c>
      <c r="E212" s="10">
        <v>152.66999999999999</v>
      </c>
      <c r="F212" s="10">
        <v>269.00000349999999</v>
      </c>
    </row>
    <row r="213" spans="1:6" x14ac:dyDescent="0.25">
      <c r="A213" s="7">
        <v>211</v>
      </c>
      <c r="B213" s="9" t="s">
        <v>425</v>
      </c>
      <c r="C213" s="9" t="s">
        <v>426</v>
      </c>
      <c r="D213" s="7">
        <v>2</v>
      </c>
      <c r="E213" s="10">
        <v>13.56</v>
      </c>
      <c r="F213" s="10">
        <v>29</v>
      </c>
    </row>
    <row r="214" spans="1:6" x14ac:dyDescent="0.25">
      <c r="A214" s="7">
        <v>212</v>
      </c>
      <c r="B214" s="9" t="s">
        <v>427</v>
      </c>
      <c r="C214" s="9" t="s">
        <v>428</v>
      </c>
      <c r="D214" s="7">
        <v>2</v>
      </c>
      <c r="E214" s="10">
        <v>123.72</v>
      </c>
      <c r="F214" s="10">
        <v>198</v>
      </c>
    </row>
    <row r="215" spans="1:6" x14ac:dyDescent="0.25">
      <c r="A215" s="7">
        <v>213</v>
      </c>
      <c r="B215" s="9" t="s">
        <v>429</v>
      </c>
      <c r="C215" s="9" t="s">
        <v>430</v>
      </c>
      <c r="D215" s="7">
        <v>2</v>
      </c>
      <c r="E215" s="10">
        <v>140.03</v>
      </c>
      <c r="F215" s="10">
        <v>283.05</v>
      </c>
    </row>
    <row r="216" spans="1:6" x14ac:dyDescent="0.25">
      <c r="A216" s="7">
        <v>214</v>
      </c>
      <c r="B216" s="9" t="s">
        <v>431</v>
      </c>
      <c r="C216" s="9" t="s">
        <v>432</v>
      </c>
      <c r="D216" s="7">
        <v>2</v>
      </c>
      <c r="E216" s="10">
        <v>29.72</v>
      </c>
      <c r="F216" s="10">
        <v>79</v>
      </c>
    </row>
    <row r="217" spans="1:6" x14ac:dyDescent="0.25">
      <c r="A217" s="7">
        <v>215</v>
      </c>
      <c r="B217" s="9" t="s">
        <v>433</v>
      </c>
      <c r="C217" s="9" t="s">
        <v>434</v>
      </c>
      <c r="D217" s="7">
        <v>2</v>
      </c>
      <c r="E217" s="10">
        <v>88.98</v>
      </c>
      <c r="F217" s="10">
        <v>152</v>
      </c>
    </row>
    <row r="218" spans="1:6" x14ac:dyDescent="0.25">
      <c r="A218" s="7">
        <v>216</v>
      </c>
      <c r="B218" s="9" t="s">
        <v>435</v>
      </c>
      <c r="C218" s="9" t="s">
        <v>436</v>
      </c>
      <c r="D218" s="7">
        <v>2</v>
      </c>
      <c r="E218" s="10">
        <v>13.5</v>
      </c>
      <c r="F218" s="10">
        <v>20</v>
      </c>
    </row>
    <row r="219" spans="1:6" x14ac:dyDescent="0.25">
      <c r="A219" s="7">
        <v>217</v>
      </c>
      <c r="B219" s="9" t="s">
        <v>437</v>
      </c>
      <c r="C219" s="9" t="s">
        <v>438</v>
      </c>
      <c r="D219" s="7">
        <v>2</v>
      </c>
      <c r="E219" s="10">
        <v>22.08</v>
      </c>
      <c r="F219" s="10">
        <v>59</v>
      </c>
    </row>
    <row r="220" spans="1:6" x14ac:dyDescent="0.25">
      <c r="A220" s="7">
        <v>218</v>
      </c>
      <c r="B220" s="9" t="s">
        <v>439</v>
      </c>
      <c r="C220" s="9" t="s">
        <v>440</v>
      </c>
      <c r="D220" s="7">
        <v>2</v>
      </c>
      <c r="E220" s="10">
        <v>16.72</v>
      </c>
      <c r="F220" s="10">
        <v>59</v>
      </c>
    </row>
    <row r="221" spans="1:6" x14ac:dyDescent="0.25">
      <c r="A221" s="7">
        <v>219</v>
      </c>
      <c r="B221" s="9" t="s">
        <v>441</v>
      </c>
      <c r="C221" s="9" t="s">
        <v>442</v>
      </c>
      <c r="D221" s="7">
        <v>2</v>
      </c>
      <c r="E221" s="10">
        <v>135.07</v>
      </c>
      <c r="F221" s="10">
        <v>297</v>
      </c>
    </row>
    <row r="222" spans="1:6" x14ac:dyDescent="0.25">
      <c r="A222" s="7">
        <v>220</v>
      </c>
      <c r="B222" s="9" t="s">
        <v>443</v>
      </c>
      <c r="C222" s="9" t="s">
        <v>444</v>
      </c>
      <c r="D222" s="7">
        <v>2</v>
      </c>
      <c r="E222" s="10">
        <v>38.42</v>
      </c>
      <c r="F222" s="10">
        <v>99.45</v>
      </c>
    </row>
    <row r="223" spans="1:6" x14ac:dyDescent="0.25">
      <c r="A223" s="7">
        <v>221</v>
      </c>
      <c r="B223" s="9" t="s">
        <v>445</v>
      </c>
      <c r="C223" s="9" t="s">
        <v>446</v>
      </c>
      <c r="D223" s="7">
        <v>2</v>
      </c>
      <c r="E223" s="10">
        <v>57.64</v>
      </c>
      <c r="F223" s="10">
        <v>150.45000099999999</v>
      </c>
    </row>
    <row r="224" spans="1:6" x14ac:dyDescent="0.25">
      <c r="A224" s="7">
        <v>222</v>
      </c>
      <c r="B224" s="9" t="s">
        <v>447</v>
      </c>
      <c r="C224" s="9" t="s">
        <v>448</v>
      </c>
      <c r="D224" s="7">
        <v>2</v>
      </c>
      <c r="E224" s="10">
        <v>87.37</v>
      </c>
      <c r="F224" s="10">
        <v>194.000001</v>
      </c>
    </row>
    <row r="225" spans="1:6" x14ac:dyDescent="0.25">
      <c r="A225" s="7">
        <v>223</v>
      </c>
      <c r="B225" s="9" t="s">
        <v>449</v>
      </c>
      <c r="C225" s="9" t="s">
        <v>450</v>
      </c>
      <c r="D225" s="7">
        <v>2</v>
      </c>
      <c r="E225" s="10">
        <v>36.51</v>
      </c>
      <c r="F225" s="10">
        <v>84</v>
      </c>
    </row>
    <row r="226" spans="1:6" x14ac:dyDescent="0.25">
      <c r="A226" s="7">
        <v>224</v>
      </c>
      <c r="B226" s="9" t="s">
        <v>451</v>
      </c>
      <c r="C226" s="9" t="s">
        <v>452</v>
      </c>
      <c r="D226" s="7">
        <v>2</v>
      </c>
      <c r="E226" s="10">
        <v>40.35</v>
      </c>
      <c r="F226" s="10">
        <v>93.700001</v>
      </c>
    </row>
    <row r="227" spans="1:6" x14ac:dyDescent="0.25">
      <c r="A227" s="7">
        <v>225</v>
      </c>
      <c r="B227" s="9" t="s">
        <v>453</v>
      </c>
      <c r="C227" s="9" t="s">
        <v>454</v>
      </c>
      <c r="D227" s="7">
        <v>2</v>
      </c>
      <c r="E227" s="10">
        <v>139.91</v>
      </c>
      <c r="F227" s="10">
        <v>292.7569135</v>
      </c>
    </row>
    <row r="228" spans="1:6" x14ac:dyDescent="0.25">
      <c r="A228" s="7">
        <v>226</v>
      </c>
      <c r="B228" s="9" t="s">
        <v>455</v>
      </c>
      <c r="C228" s="9" t="s">
        <v>456</v>
      </c>
      <c r="D228" s="7">
        <v>2</v>
      </c>
      <c r="E228" s="10">
        <v>99.15</v>
      </c>
      <c r="F228" s="10">
        <v>175</v>
      </c>
    </row>
    <row r="229" spans="1:6" x14ac:dyDescent="0.25">
      <c r="A229" s="7">
        <v>227</v>
      </c>
      <c r="B229" s="9" t="s">
        <v>457</v>
      </c>
      <c r="C229" s="9" t="s">
        <v>458</v>
      </c>
      <c r="D229" s="7">
        <v>2</v>
      </c>
      <c r="E229" s="10">
        <v>338.98</v>
      </c>
      <c r="F229" s="10">
        <v>549</v>
      </c>
    </row>
    <row r="230" spans="1:6" x14ac:dyDescent="0.25">
      <c r="A230" s="7">
        <v>228</v>
      </c>
      <c r="B230" s="9" t="s">
        <v>459</v>
      </c>
      <c r="C230" s="9" t="s">
        <v>460</v>
      </c>
      <c r="D230" s="7">
        <v>2</v>
      </c>
      <c r="E230" s="10">
        <v>128.98000000000002</v>
      </c>
      <c r="F230" s="10">
        <v>204.3</v>
      </c>
    </row>
    <row r="231" spans="1:6" x14ac:dyDescent="0.25">
      <c r="A231" s="7">
        <v>229</v>
      </c>
      <c r="B231" s="9" t="s">
        <v>461</v>
      </c>
      <c r="C231" s="9" t="s">
        <v>462</v>
      </c>
      <c r="D231" s="7">
        <v>2</v>
      </c>
      <c r="E231" s="10">
        <v>183.45</v>
      </c>
      <c r="F231" s="10">
        <v>334.00000199999999</v>
      </c>
    </row>
    <row r="232" spans="1:6" x14ac:dyDescent="0.25">
      <c r="A232" s="7">
        <v>230</v>
      </c>
      <c r="B232" s="9" t="s">
        <v>463</v>
      </c>
      <c r="C232" s="9" t="s">
        <v>464</v>
      </c>
      <c r="D232" s="7">
        <v>2</v>
      </c>
      <c r="E232" s="10">
        <v>135.58000000000001</v>
      </c>
      <c r="F232" s="10">
        <v>299</v>
      </c>
    </row>
    <row r="233" spans="1:6" x14ac:dyDescent="0.25">
      <c r="A233" s="7">
        <v>231</v>
      </c>
      <c r="B233" s="9" t="s">
        <v>465</v>
      </c>
      <c r="C233" s="9" t="s">
        <v>466</v>
      </c>
      <c r="D233" s="7">
        <v>2</v>
      </c>
      <c r="E233" s="10">
        <v>34.18</v>
      </c>
      <c r="F233" s="10">
        <v>42.350002000000003</v>
      </c>
    </row>
    <row r="234" spans="1:6" x14ac:dyDescent="0.25">
      <c r="A234" s="7">
        <v>232</v>
      </c>
      <c r="B234" s="9" t="s">
        <v>467</v>
      </c>
      <c r="C234" s="9" t="s">
        <v>468</v>
      </c>
      <c r="D234" s="7">
        <v>2</v>
      </c>
      <c r="E234" s="10">
        <v>30.51</v>
      </c>
      <c r="F234" s="10">
        <v>74</v>
      </c>
    </row>
    <row r="235" spans="1:6" x14ac:dyDescent="0.25">
      <c r="A235" s="7">
        <v>233</v>
      </c>
      <c r="B235" s="9" t="s">
        <v>469</v>
      </c>
      <c r="C235" s="9" t="s">
        <v>470</v>
      </c>
      <c r="D235" s="7">
        <v>2</v>
      </c>
      <c r="E235" s="10">
        <v>34.18</v>
      </c>
      <c r="F235" s="10">
        <v>42.350002000000003</v>
      </c>
    </row>
    <row r="236" spans="1:6" x14ac:dyDescent="0.25">
      <c r="A236" s="7">
        <v>234</v>
      </c>
      <c r="B236" s="9" t="s">
        <v>471</v>
      </c>
      <c r="C236" s="9" t="s">
        <v>472</v>
      </c>
      <c r="D236" s="7">
        <v>2</v>
      </c>
      <c r="E236" s="10">
        <v>39.020000000000003</v>
      </c>
      <c r="F236" s="10">
        <v>89</v>
      </c>
    </row>
    <row r="237" spans="1:6" x14ac:dyDescent="0.25">
      <c r="A237" s="7">
        <v>235</v>
      </c>
      <c r="B237" s="9" t="s">
        <v>473</v>
      </c>
      <c r="C237" s="9" t="s">
        <v>474</v>
      </c>
      <c r="D237" s="7">
        <v>2</v>
      </c>
      <c r="E237" s="10">
        <v>138.24</v>
      </c>
      <c r="F237" s="10">
        <v>301</v>
      </c>
    </row>
    <row r="238" spans="1:6" x14ac:dyDescent="0.25">
      <c r="A238" s="7">
        <v>236</v>
      </c>
      <c r="B238" s="9" t="s">
        <v>475</v>
      </c>
      <c r="C238" s="9" t="s">
        <v>476</v>
      </c>
      <c r="D238" s="7">
        <v>2</v>
      </c>
      <c r="E238" s="10">
        <v>16.72</v>
      </c>
      <c r="F238" s="10">
        <v>59</v>
      </c>
    </row>
    <row r="239" spans="1:6" x14ac:dyDescent="0.25">
      <c r="A239" s="7">
        <v>237</v>
      </c>
      <c r="B239" s="9" t="s">
        <v>477</v>
      </c>
      <c r="C239" s="9" t="s">
        <v>478</v>
      </c>
      <c r="D239" s="7">
        <v>2</v>
      </c>
      <c r="E239" s="10">
        <v>49.78</v>
      </c>
      <c r="F239" s="10">
        <v>112.9</v>
      </c>
    </row>
    <row r="240" spans="1:6" x14ac:dyDescent="0.25">
      <c r="A240" s="7">
        <v>238</v>
      </c>
      <c r="B240" s="9" t="s">
        <v>479</v>
      </c>
      <c r="C240" s="9" t="s">
        <v>480</v>
      </c>
      <c r="D240" s="7">
        <v>2</v>
      </c>
      <c r="E240" s="10">
        <v>37.284999999999997</v>
      </c>
      <c r="F240" s="10">
        <v>69</v>
      </c>
    </row>
    <row r="241" spans="1:6" x14ac:dyDescent="0.25">
      <c r="A241" s="7">
        <v>239</v>
      </c>
      <c r="B241" s="9" t="s">
        <v>481</v>
      </c>
      <c r="C241" s="9" t="s">
        <v>482</v>
      </c>
      <c r="D241" s="7">
        <v>2</v>
      </c>
      <c r="E241" s="10">
        <v>110.16</v>
      </c>
      <c r="F241" s="10">
        <v>195</v>
      </c>
    </row>
    <row r="242" spans="1:6" x14ac:dyDescent="0.25">
      <c r="A242" s="7">
        <v>240</v>
      </c>
      <c r="B242" s="9" t="s">
        <v>483</v>
      </c>
      <c r="C242" s="9" t="s">
        <v>484</v>
      </c>
      <c r="D242" s="7">
        <v>2</v>
      </c>
      <c r="E242" s="10">
        <v>16.72</v>
      </c>
      <c r="F242" s="10">
        <v>52</v>
      </c>
    </row>
    <row r="243" spans="1:6" x14ac:dyDescent="0.25">
      <c r="A243" s="7">
        <v>241</v>
      </c>
      <c r="B243" s="9" t="s">
        <v>485</v>
      </c>
      <c r="C243" s="9" t="s">
        <v>486</v>
      </c>
      <c r="D243" s="7">
        <v>2</v>
      </c>
      <c r="E243" s="10">
        <v>84</v>
      </c>
      <c r="F243" s="10">
        <v>142.94999999999999</v>
      </c>
    </row>
    <row r="244" spans="1:6" x14ac:dyDescent="0.25">
      <c r="A244" s="7">
        <v>242</v>
      </c>
      <c r="B244" s="9" t="s">
        <v>487</v>
      </c>
      <c r="C244" s="9" t="s">
        <v>488</v>
      </c>
      <c r="D244" s="7">
        <v>2</v>
      </c>
      <c r="E244" s="10">
        <v>70</v>
      </c>
      <c r="F244" s="10">
        <v>122.55</v>
      </c>
    </row>
    <row r="245" spans="1:6" x14ac:dyDescent="0.25">
      <c r="A245" s="7">
        <v>243</v>
      </c>
      <c r="B245" s="9" t="s">
        <v>489</v>
      </c>
      <c r="C245" s="9" t="s">
        <v>490</v>
      </c>
      <c r="D245" s="7">
        <v>2</v>
      </c>
      <c r="E245" s="10">
        <v>0</v>
      </c>
      <c r="F245" s="10">
        <v>126.515</v>
      </c>
    </row>
    <row r="246" spans="1:6" x14ac:dyDescent="0.25">
      <c r="A246" s="7">
        <v>244</v>
      </c>
      <c r="B246" s="9" t="s">
        <v>491</v>
      </c>
      <c r="C246" s="9" t="s">
        <v>492</v>
      </c>
      <c r="D246" s="7">
        <v>2</v>
      </c>
      <c r="E246" s="10">
        <v>105</v>
      </c>
      <c r="F246" s="10">
        <v>180.5</v>
      </c>
    </row>
    <row r="247" spans="1:6" x14ac:dyDescent="0.25">
      <c r="A247" s="7">
        <v>245</v>
      </c>
      <c r="B247" s="9" t="s">
        <v>493</v>
      </c>
      <c r="C247" s="9" t="s">
        <v>494</v>
      </c>
      <c r="D247" s="7">
        <v>2</v>
      </c>
      <c r="E247" s="10">
        <v>34.65</v>
      </c>
      <c r="F247" s="10">
        <v>76.5</v>
      </c>
    </row>
    <row r="248" spans="1:6" x14ac:dyDescent="0.25">
      <c r="A248" s="7">
        <v>246</v>
      </c>
      <c r="B248" s="9" t="s">
        <v>495</v>
      </c>
      <c r="C248" s="9" t="s">
        <v>496</v>
      </c>
      <c r="D248" s="7">
        <v>2</v>
      </c>
      <c r="E248" s="10">
        <v>35.29</v>
      </c>
      <c r="F248" s="10">
        <v>85.9</v>
      </c>
    </row>
    <row r="249" spans="1:6" x14ac:dyDescent="0.25">
      <c r="A249" s="7">
        <v>247</v>
      </c>
      <c r="B249" s="9" t="s">
        <v>497</v>
      </c>
      <c r="C249" s="9" t="s">
        <v>498</v>
      </c>
      <c r="D249" s="7">
        <v>2</v>
      </c>
      <c r="E249" s="10">
        <v>160.69999999999999</v>
      </c>
      <c r="F249" s="10">
        <v>295</v>
      </c>
    </row>
    <row r="250" spans="1:6" x14ac:dyDescent="0.25">
      <c r="A250" s="7">
        <v>248</v>
      </c>
      <c r="B250" s="9" t="s">
        <v>499</v>
      </c>
      <c r="C250" s="9" t="s">
        <v>500</v>
      </c>
      <c r="D250" s="7">
        <v>2</v>
      </c>
      <c r="E250" s="10">
        <v>165</v>
      </c>
      <c r="F250" s="10">
        <v>282</v>
      </c>
    </row>
    <row r="251" spans="1:6" x14ac:dyDescent="0.25">
      <c r="A251" s="7">
        <v>249</v>
      </c>
      <c r="B251" s="9" t="s">
        <v>501</v>
      </c>
      <c r="C251" s="9" t="s">
        <v>502</v>
      </c>
      <c r="D251" s="7">
        <v>2</v>
      </c>
      <c r="E251" s="10">
        <v>11.99</v>
      </c>
      <c r="F251" s="10">
        <v>24</v>
      </c>
    </row>
    <row r="252" spans="1:6" x14ac:dyDescent="0.25">
      <c r="A252" s="7">
        <v>250</v>
      </c>
      <c r="B252" s="9" t="s">
        <v>503</v>
      </c>
      <c r="C252" s="9" t="s">
        <v>504</v>
      </c>
      <c r="D252" s="7">
        <v>2</v>
      </c>
      <c r="E252" s="10">
        <v>35.72</v>
      </c>
      <c r="F252" s="10">
        <v>44.250003</v>
      </c>
    </row>
    <row r="253" spans="1:6" x14ac:dyDescent="0.25">
      <c r="A253" s="7">
        <v>251</v>
      </c>
      <c r="B253" s="9" t="s">
        <v>505</v>
      </c>
      <c r="C253" s="9" t="s">
        <v>506</v>
      </c>
      <c r="D253" s="7">
        <v>2</v>
      </c>
      <c r="E253" s="10">
        <v>0</v>
      </c>
      <c r="F253" s="10">
        <v>68</v>
      </c>
    </row>
    <row r="254" spans="1:6" x14ac:dyDescent="0.25">
      <c r="A254" s="7">
        <v>252</v>
      </c>
      <c r="B254" s="9" t="s">
        <v>507</v>
      </c>
      <c r="C254" s="9" t="s">
        <v>508</v>
      </c>
      <c r="D254" s="7">
        <v>2</v>
      </c>
      <c r="E254" s="10">
        <v>25.42</v>
      </c>
      <c r="F254" s="10">
        <v>67</v>
      </c>
    </row>
    <row r="255" spans="1:6" x14ac:dyDescent="0.25">
      <c r="A255" s="7">
        <v>253</v>
      </c>
      <c r="B255" s="9" t="s">
        <v>509</v>
      </c>
      <c r="C255" s="9" t="s">
        <v>510</v>
      </c>
      <c r="D255" s="7">
        <v>2</v>
      </c>
      <c r="E255" s="10">
        <v>0</v>
      </c>
      <c r="F255" s="10">
        <v>0</v>
      </c>
    </row>
    <row r="256" spans="1:6" x14ac:dyDescent="0.25">
      <c r="A256" s="7">
        <v>254</v>
      </c>
      <c r="B256" s="9" t="s">
        <v>511</v>
      </c>
      <c r="C256" s="9" t="s">
        <v>512</v>
      </c>
      <c r="D256" s="7">
        <v>2</v>
      </c>
      <c r="E256" s="10">
        <v>98.24</v>
      </c>
      <c r="F256" s="10">
        <v>197</v>
      </c>
    </row>
    <row r="257" spans="1:6" x14ac:dyDescent="0.25">
      <c r="A257" s="7">
        <v>255</v>
      </c>
      <c r="B257" s="9" t="s">
        <v>513</v>
      </c>
      <c r="C257" s="9" t="s">
        <v>514</v>
      </c>
      <c r="D257" s="7">
        <v>2</v>
      </c>
      <c r="E257" s="10">
        <v>27.77</v>
      </c>
      <c r="F257" s="10">
        <v>23.204999999999998</v>
      </c>
    </row>
    <row r="258" spans="1:6" x14ac:dyDescent="0.25">
      <c r="A258" s="7">
        <v>256</v>
      </c>
      <c r="B258" s="9" t="s">
        <v>515</v>
      </c>
      <c r="C258" s="9" t="s">
        <v>516</v>
      </c>
      <c r="D258" s="7">
        <v>2</v>
      </c>
      <c r="E258" s="10">
        <v>13.61</v>
      </c>
      <c r="F258" s="10">
        <v>26.5</v>
      </c>
    </row>
    <row r="259" spans="1:6" x14ac:dyDescent="0.25">
      <c r="A259" s="7">
        <v>257</v>
      </c>
      <c r="B259" s="9" t="s">
        <v>517</v>
      </c>
      <c r="C259" s="9" t="s">
        <v>518</v>
      </c>
      <c r="D259" s="7">
        <v>2</v>
      </c>
      <c r="E259" s="10">
        <v>50.84</v>
      </c>
      <c r="F259" s="10">
        <v>139</v>
      </c>
    </row>
    <row r="260" spans="1:6" x14ac:dyDescent="0.25">
      <c r="A260" s="7">
        <v>258</v>
      </c>
      <c r="B260" s="9" t="s">
        <v>519</v>
      </c>
      <c r="C260" s="9" t="s">
        <v>520</v>
      </c>
      <c r="D260" s="7">
        <v>2</v>
      </c>
      <c r="E260" s="10">
        <v>36.17</v>
      </c>
      <c r="F260" s="10">
        <v>85.9</v>
      </c>
    </row>
    <row r="261" spans="1:6" x14ac:dyDescent="0.25">
      <c r="A261" s="7">
        <v>259</v>
      </c>
      <c r="B261" s="9" t="s">
        <v>521</v>
      </c>
      <c r="C261" s="9" t="s">
        <v>522</v>
      </c>
      <c r="D261" s="7">
        <v>2</v>
      </c>
      <c r="E261" s="10">
        <v>30.34</v>
      </c>
      <c r="F261" s="10">
        <v>67.95</v>
      </c>
    </row>
    <row r="262" spans="1:6" x14ac:dyDescent="0.25">
      <c r="A262" s="7">
        <v>260</v>
      </c>
      <c r="B262" s="9" t="s">
        <v>523</v>
      </c>
      <c r="C262" s="9" t="s">
        <v>524</v>
      </c>
      <c r="D262" s="7">
        <v>2</v>
      </c>
      <c r="E262" s="10">
        <v>13.61</v>
      </c>
      <c r="F262" s="10">
        <v>23.939999999999998</v>
      </c>
    </row>
    <row r="263" spans="1:6" x14ac:dyDescent="0.25">
      <c r="A263" s="7">
        <v>261</v>
      </c>
      <c r="B263" s="9" t="s">
        <v>525</v>
      </c>
      <c r="C263" s="9" t="s">
        <v>526</v>
      </c>
      <c r="D263" s="7">
        <v>2</v>
      </c>
      <c r="E263" s="10">
        <v>94.35</v>
      </c>
      <c r="F263" s="10">
        <v>199</v>
      </c>
    </row>
    <row r="264" spans="1:6" x14ac:dyDescent="0.25">
      <c r="A264" s="7">
        <v>262</v>
      </c>
      <c r="B264" s="9" t="s">
        <v>527</v>
      </c>
      <c r="C264" s="9" t="s">
        <v>528</v>
      </c>
      <c r="D264" s="7">
        <v>2</v>
      </c>
      <c r="E264" s="10">
        <v>0</v>
      </c>
      <c r="F264" s="10">
        <v>73.125</v>
      </c>
    </row>
    <row r="265" spans="1:6" x14ac:dyDescent="0.25">
      <c r="A265" s="7">
        <v>263</v>
      </c>
      <c r="B265" s="9" t="s">
        <v>529</v>
      </c>
      <c r="C265" s="9" t="s">
        <v>530</v>
      </c>
      <c r="D265" s="7">
        <v>2</v>
      </c>
      <c r="E265" s="10">
        <v>166.06</v>
      </c>
      <c r="F265" s="10">
        <v>355.88500799999997</v>
      </c>
    </row>
    <row r="266" spans="1:6" x14ac:dyDescent="0.25">
      <c r="A266" s="7">
        <v>264</v>
      </c>
      <c r="B266" s="9" t="s">
        <v>531</v>
      </c>
      <c r="C266" s="9" t="s">
        <v>532</v>
      </c>
      <c r="D266" s="7">
        <v>2</v>
      </c>
      <c r="E266" s="10">
        <v>123</v>
      </c>
      <c r="F266" s="10">
        <v>210.9</v>
      </c>
    </row>
    <row r="267" spans="1:6" x14ac:dyDescent="0.25">
      <c r="A267" s="7">
        <v>265</v>
      </c>
      <c r="B267" s="9" t="s">
        <v>533</v>
      </c>
      <c r="C267" s="9" t="s">
        <v>534</v>
      </c>
      <c r="D267" s="7">
        <v>2</v>
      </c>
      <c r="E267" s="10">
        <v>34.47</v>
      </c>
      <c r="F267" s="10">
        <v>71.900000000000006</v>
      </c>
    </row>
    <row r="268" spans="1:6" x14ac:dyDescent="0.25">
      <c r="A268" s="7">
        <v>266</v>
      </c>
      <c r="B268" s="9" t="s">
        <v>535</v>
      </c>
      <c r="C268" s="9" t="s">
        <v>536</v>
      </c>
      <c r="D268" s="7">
        <v>2</v>
      </c>
      <c r="E268" s="10">
        <v>65.959999999999994</v>
      </c>
      <c r="F268" s="10">
        <v>124.66</v>
      </c>
    </row>
    <row r="269" spans="1:6" x14ac:dyDescent="0.25">
      <c r="A269" s="7">
        <v>267</v>
      </c>
      <c r="B269" s="9" t="s">
        <v>537</v>
      </c>
      <c r="C269" s="9" t="s">
        <v>538</v>
      </c>
      <c r="D269" s="7">
        <v>2</v>
      </c>
      <c r="E269" s="10">
        <v>0</v>
      </c>
      <c r="F269" s="10">
        <v>26.5</v>
      </c>
    </row>
    <row r="270" spans="1:6" x14ac:dyDescent="0.25">
      <c r="A270" s="7">
        <v>268</v>
      </c>
      <c r="B270" s="9" t="s">
        <v>539</v>
      </c>
      <c r="C270" s="9" t="s">
        <v>540</v>
      </c>
      <c r="D270" s="7">
        <v>2</v>
      </c>
      <c r="E270" s="10">
        <v>173.73</v>
      </c>
      <c r="F270" s="10">
        <v>264.5</v>
      </c>
    </row>
    <row r="271" spans="1:6" x14ac:dyDescent="0.25">
      <c r="A271" s="7">
        <v>269</v>
      </c>
      <c r="B271" s="9" t="s">
        <v>541</v>
      </c>
      <c r="C271" s="9" t="s">
        <v>542</v>
      </c>
      <c r="D271" s="7">
        <v>2</v>
      </c>
      <c r="E271" s="10">
        <v>83.984999999999999</v>
      </c>
      <c r="F271" s="10">
        <v>168.9</v>
      </c>
    </row>
    <row r="272" spans="1:6" x14ac:dyDescent="0.25">
      <c r="A272" s="7">
        <v>270</v>
      </c>
      <c r="B272" s="9" t="s">
        <v>543</v>
      </c>
      <c r="C272" s="9" t="s">
        <v>544</v>
      </c>
      <c r="D272" s="7">
        <v>2</v>
      </c>
      <c r="E272" s="10">
        <v>41.86</v>
      </c>
      <c r="F272" s="10">
        <v>76.900000000000006</v>
      </c>
    </row>
    <row r="273" spans="1:6" x14ac:dyDescent="0.25">
      <c r="A273" s="7">
        <v>271</v>
      </c>
      <c r="B273" s="9" t="s">
        <v>545</v>
      </c>
      <c r="C273" s="9" t="s">
        <v>546</v>
      </c>
      <c r="D273" s="7">
        <v>2</v>
      </c>
      <c r="E273" s="10">
        <v>88.14</v>
      </c>
      <c r="F273" s="10">
        <v>160</v>
      </c>
    </row>
    <row r="274" spans="1:6" x14ac:dyDescent="0.25">
      <c r="A274" s="7">
        <v>272</v>
      </c>
      <c r="B274" s="9" t="s">
        <v>547</v>
      </c>
      <c r="C274" s="9" t="s">
        <v>548</v>
      </c>
      <c r="D274" s="7">
        <v>2</v>
      </c>
      <c r="E274" s="10">
        <v>71.94</v>
      </c>
      <c r="F274" s="10">
        <v>152.01</v>
      </c>
    </row>
    <row r="275" spans="1:6" x14ac:dyDescent="0.25">
      <c r="A275" s="7">
        <v>273</v>
      </c>
      <c r="B275" s="9" t="s">
        <v>549</v>
      </c>
      <c r="C275" s="9" t="s">
        <v>550</v>
      </c>
      <c r="D275" s="7">
        <v>2</v>
      </c>
      <c r="E275" s="10">
        <v>74.58</v>
      </c>
      <c r="F275" s="10">
        <v>119.000006</v>
      </c>
    </row>
    <row r="276" spans="1:6" x14ac:dyDescent="0.25">
      <c r="A276" s="7">
        <v>274</v>
      </c>
      <c r="B276" s="9" t="s">
        <v>551</v>
      </c>
      <c r="C276" s="9" t="s">
        <v>552</v>
      </c>
      <c r="D276" s="7">
        <v>2</v>
      </c>
      <c r="E276" s="10">
        <v>0</v>
      </c>
      <c r="F276" s="10">
        <v>79</v>
      </c>
    </row>
    <row r="277" spans="1:6" x14ac:dyDescent="0.25">
      <c r="A277" s="7">
        <v>275</v>
      </c>
      <c r="B277" s="9" t="s">
        <v>553</v>
      </c>
      <c r="C277" s="9" t="s">
        <v>554</v>
      </c>
      <c r="D277" s="7">
        <v>2</v>
      </c>
      <c r="E277" s="10">
        <v>34.47</v>
      </c>
      <c r="F277" s="10">
        <v>76.900000000000006</v>
      </c>
    </row>
    <row r="278" spans="1:6" x14ac:dyDescent="0.25">
      <c r="A278" s="7">
        <v>276</v>
      </c>
      <c r="B278" s="9" t="s">
        <v>555</v>
      </c>
      <c r="C278" s="9" t="s">
        <v>556</v>
      </c>
      <c r="D278" s="7">
        <v>2</v>
      </c>
      <c r="E278" s="10">
        <v>164.83499999999998</v>
      </c>
      <c r="F278" s="10">
        <v>282</v>
      </c>
    </row>
    <row r="279" spans="1:6" x14ac:dyDescent="0.25">
      <c r="A279" s="7">
        <v>277</v>
      </c>
      <c r="B279" s="9" t="s">
        <v>557</v>
      </c>
      <c r="C279" s="9" t="s">
        <v>558</v>
      </c>
      <c r="D279" s="7">
        <v>2</v>
      </c>
      <c r="E279" s="10">
        <v>0</v>
      </c>
      <c r="F279" s="10">
        <v>0</v>
      </c>
    </row>
    <row r="280" spans="1:6" x14ac:dyDescent="0.25">
      <c r="A280" s="7">
        <v>278</v>
      </c>
      <c r="B280" s="9" t="s">
        <v>559</v>
      </c>
      <c r="C280" s="9" t="s">
        <v>560</v>
      </c>
      <c r="D280" s="7">
        <v>2</v>
      </c>
      <c r="E280" s="10">
        <v>70</v>
      </c>
      <c r="F280" s="10">
        <v>129</v>
      </c>
    </row>
    <row r="281" spans="1:6" x14ac:dyDescent="0.25">
      <c r="A281" s="7">
        <v>279</v>
      </c>
      <c r="B281" s="9" t="s">
        <v>561</v>
      </c>
      <c r="C281" s="9" t="s">
        <v>562</v>
      </c>
      <c r="D281" s="7">
        <v>2</v>
      </c>
      <c r="E281" s="10">
        <v>66</v>
      </c>
      <c r="F281" s="10">
        <v>127.9999985</v>
      </c>
    </row>
    <row r="282" spans="1:6" x14ac:dyDescent="0.25">
      <c r="A282" s="7">
        <v>280</v>
      </c>
      <c r="B282" s="9" t="s">
        <v>563</v>
      </c>
      <c r="C282" s="9" t="s">
        <v>564</v>
      </c>
      <c r="D282" s="7">
        <v>2</v>
      </c>
      <c r="E282" s="10">
        <v>33.049999999999997</v>
      </c>
      <c r="F282" s="10">
        <v>40.949995999999999</v>
      </c>
    </row>
    <row r="283" spans="1:6" x14ac:dyDescent="0.25">
      <c r="A283" s="7">
        <v>281</v>
      </c>
      <c r="B283" s="9" t="s">
        <v>565</v>
      </c>
      <c r="C283" s="9" t="s">
        <v>566</v>
      </c>
      <c r="D283" s="7">
        <v>2</v>
      </c>
      <c r="E283" s="10">
        <v>104</v>
      </c>
      <c r="F283" s="10">
        <v>187.18180849999999</v>
      </c>
    </row>
    <row r="284" spans="1:6" x14ac:dyDescent="0.25">
      <c r="A284" s="7">
        <v>282</v>
      </c>
      <c r="B284" s="9" t="s">
        <v>567</v>
      </c>
      <c r="C284" s="9" t="s">
        <v>568</v>
      </c>
      <c r="D284" s="7">
        <v>2</v>
      </c>
      <c r="E284" s="10">
        <v>39.28</v>
      </c>
      <c r="F284" s="10">
        <v>48.670003999999999</v>
      </c>
    </row>
    <row r="285" spans="1:6" x14ac:dyDescent="0.25">
      <c r="A285" s="7">
        <v>283</v>
      </c>
      <c r="B285" s="9" t="s">
        <v>569</v>
      </c>
      <c r="C285" s="9" t="s">
        <v>570</v>
      </c>
      <c r="D285" s="7">
        <v>2</v>
      </c>
      <c r="E285" s="10">
        <v>0</v>
      </c>
      <c r="F285" s="10">
        <v>79</v>
      </c>
    </row>
    <row r="286" spans="1:6" x14ac:dyDescent="0.25">
      <c r="A286" s="7">
        <v>284</v>
      </c>
      <c r="B286" s="9" t="s">
        <v>571</v>
      </c>
      <c r="C286" s="9" t="s">
        <v>572</v>
      </c>
      <c r="D286" s="7">
        <v>2</v>
      </c>
      <c r="E286" s="10">
        <v>113.51</v>
      </c>
      <c r="F286" s="10">
        <v>190</v>
      </c>
    </row>
    <row r="287" spans="1:6" x14ac:dyDescent="0.25">
      <c r="A287" s="7">
        <v>285</v>
      </c>
      <c r="B287" s="9" t="s">
        <v>573</v>
      </c>
      <c r="C287" s="9" t="s">
        <v>574</v>
      </c>
      <c r="D287" s="7">
        <v>2</v>
      </c>
      <c r="E287" s="10">
        <v>104.41</v>
      </c>
      <c r="F287" s="10">
        <v>203</v>
      </c>
    </row>
    <row r="288" spans="1:6" x14ac:dyDescent="0.25">
      <c r="A288" s="7">
        <v>286</v>
      </c>
      <c r="B288" s="9" t="s">
        <v>575</v>
      </c>
      <c r="C288" s="9" t="s">
        <v>576</v>
      </c>
      <c r="D288" s="7">
        <v>2</v>
      </c>
      <c r="E288" s="10">
        <v>81</v>
      </c>
      <c r="F288" s="10">
        <v>149</v>
      </c>
    </row>
    <row r="289" spans="1:6" x14ac:dyDescent="0.25">
      <c r="A289" s="7">
        <v>287</v>
      </c>
      <c r="B289" s="9" t="s">
        <v>577</v>
      </c>
      <c r="C289" s="9" t="s">
        <v>578</v>
      </c>
      <c r="D289" s="7">
        <v>2</v>
      </c>
      <c r="E289" s="10">
        <v>96</v>
      </c>
      <c r="F289" s="10">
        <v>178</v>
      </c>
    </row>
    <row r="290" spans="1:6" x14ac:dyDescent="0.25">
      <c r="A290" s="7">
        <v>288</v>
      </c>
      <c r="B290" s="9" t="s">
        <v>579</v>
      </c>
      <c r="C290" s="9" t="s">
        <v>580</v>
      </c>
      <c r="D290" s="7">
        <v>2</v>
      </c>
      <c r="E290" s="10">
        <v>93.575000000000003</v>
      </c>
      <c r="F290" s="10">
        <v>169.1</v>
      </c>
    </row>
    <row r="291" spans="1:6" x14ac:dyDescent="0.25">
      <c r="A291" s="7">
        <v>289</v>
      </c>
      <c r="B291" s="9" t="s">
        <v>581</v>
      </c>
      <c r="C291" s="9" t="s">
        <v>582</v>
      </c>
      <c r="D291" s="7">
        <v>2</v>
      </c>
      <c r="E291" s="10">
        <v>85</v>
      </c>
      <c r="F291" s="10">
        <v>160</v>
      </c>
    </row>
    <row r="292" spans="1:6" x14ac:dyDescent="0.25">
      <c r="A292" s="7">
        <v>290</v>
      </c>
      <c r="B292" s="9" t="s">
        <v>583</v>
      </c>
      <c r="C292" s="9" t="s">
        <v>584</v>
      </c>
      <c r="D292" s="7">
        <v>2</v>
      </c>
      <c r="E292" s="10">
        <v>129.44999999999999</v>
      </c>
      <c r="F292" s="10">
        <v>253.5</v>
      </c>
    </row>
    <row r="293" spans="1:6" x14ac:dyDescent="0.25">
      <c r="A293" s="7">
        <v>291</v>
      </c>
      <c r="B293" s="9" t="s">
        <v>585</v>
      </c>
      <c r="C293" s="9" t="s">
        <v>586</v>
      </c>
      <c r="D293" s="7">
        <v>2</v>
      </c>
      <c r="E293" s="10">
        <v>13.61</v>
      </c>
      <c r="F293" s="10">
        <v>26.5</v>
      </c>
    </row>
    <row r="294" spans="1:6" x14ac:dyDescent="0.25">
      <c r="A294" s="7">
        <v>292</v>
      </c>
      <c r="B294" s="9" t="s">
        <v>587</v>
      </c>
      <c r="C294" s="9" t="s">
        <v>588</v>
      </c>
      <c r="D294" s="7">
        <v>2</v>
      </c>
      <c r="E294" s="10">
        <v>160.07499999999999</v>
      </c>
      <c r="F294" s="10">
        <v>252</v>
      </c>
    </row>
    <row r="295" spans="1:6" x14ac:dyDescent="0.25">
      <c r="A295" s="7">
        <v>293</v>
      </c>
      <c r="B295" s="9" t="s">
        <v>589</v>
      </c>
      <c r="C295" s="9" t="s">
        <v>590</v>
      </c>
      <c r="D295" s="7">
        <v>2</v>
      </c>
      <c r="E295" s="10">
        <v>104</v>
      </c>
      <c r="F295" s="10">
        <v>189</v>
      </c>
    </row>
    <row r="296" spans="1:6" x14ac:dyDescent="0.25">
      <c r="A296" s="7">
        <v>294</v>
      </c>
      <c r="B296" s="9" t="s">
        <v>591</v>
      </c>
      <c r="C296" s="9" t="s">
        <v>592</v>
      </c>
      <c r="D296" s="7">
        <v>2</v>
      </c>
      <c r="E296" s="10">
        <v>29.515000000000001</v>
      </c>
      <c r="F296" s="10">
        <v>92</v>
      </c>
    </row>
    <row r="297" spans="1:6" x14ac:dyDescent="0.25">
      <c r="A297" s="7">
        <v>295</v>
      </c>
      <c r="B297" s="9" t="s">
        <v>593</v>
      </c>
      <c r="C297" s="9" t="s">
        <v>594</v>
      </c>
      <c r="D297" s="7">
        <v>2</v>
      </c>
      <c r="E297" s="10">
        <v>140.76</v>
      </c>
      <c r="F297" s="10">
        <v>286</v>
      </c>
    </row>
    <row r="298" spans="1:6" x14ac:dyDescent="0.25">
      <c r="A298" s="7">
        <v>296</v>
      </c>
      <c r="B298" s="9" t="s">
        <v>595</v>
      </c>
      <c r="C298" s="9" t="s">
        <v>596</v>
      </c>
      <c r="D298" s="7">
        <v>2</v>
      </c>
      <c r="E298" s="10">
        <v>96.800000000000011</v>
      </c>
      <c r="F298" s="10">
        <v>178</v>
      </c>
    </row>
    <row r="299" spans="1:6" x14ac:dyDescent="0.25">
      <c r="A299" s="7">
        <v>297</v>
      </c>
      <c r="B299" s="9" t="s">
        <v>597</v>
      </c>
      <c r="C299" s="9" t="s">
        <v>598</v>
      </c>
      <c r="D299" s="7">
        <v>2</v>
      </c>
      <c r="E299" s="10">
        <v>123</v>
      </c>
      <c r="F299" s="10">
        <v>219.5</v>
      </c>
    </row>
    <row r="300" spans="1:6" x14ac:dyDescent="0.25">
      <c r="A300" s="7">
        <v>298</v>
      </c>
      <c r="B300" s="9" t="s">
        <v>599</v>
      </c>
      <c r="C300" s="9" t="s">
        <v>600</v>
      </c>
      <c r="D300" s="7">
        <v>2</v>
      </c>
      <c r="E300" s="10">
        <v>81.349999999999994</v>
      </c>
      <c r="F300" s="10">
        <v>124</v>
      </c>
    </row>
    <row r="301" spans="1:6" x14ac:dyDescent="0.25">
      <c r="A301" s="7">
        <v>299</v>
      </c>
      <c r="B301" s="9" t="s">
        <v>601</v>
      </c>
      <c r="C301" s="9" t="s">
        <v>602</v>
      </c>
      <c r="D301" s="7">
        <v>2</v>
      </c>
      <c r="E301" s="10">
        <v>12.82</v>
      </c>
      <c r="F301" s="10">
        <v>26.5</v>
      </c>
    </row>
    <row r="302" spans="1:6" x14ac:dyDescent="0.25">
      <c r="A302" s="7">
        <v>300</v>
      </c>
      <c r="B302" s="9" t="s">
        <v>603</v>
      </c>
      <c r="C302" s="9" t="s">
        <v>604</v>
      </c>
      <c r="D302" s="7">
        <v>2</v>
      </c>
      <c r="E302" s="10">
        <v>53.69</v>
      </c>
      <c r="F302" s="10">
        <v>79</v>
      </c>
    </row>
    <row r="303" spans="1:6" x14ac:dyDescent="0.25">
      <c r="A303" s="7">
        <v>301</v>
      </c>
      <c r="B303" s="9" t="s">
        <v>605</v>
      </c>
      <c r="C303" s="9" t="s">
        <v>606</v>
      </c>
      <c r="D303" s="7">
        <v>2</v>
      </c>
      <c r="E303" s="10">
        <v>76.27</v>
      </c>
      <c r="F303" s="10">
        <v>140</v>
      </c>
    </row>
    <row r="304" spans="1:6" x14ac:dyDescent="0.25">
      <c r="A304" s="7">
        <v>302</v>
      </c>
      <c r="B304" s="9" t="s">
        <v>607</v>
      </c>
      <c r="C304" s="9" t="s">
        <v>608</v>
      </c>
      <c r="D304" s="7">
        <v>2</v>
      </c>
      <c r="E304" s="10">
        <v>60.42</v>
      </c>
      <c r="F304" s="10">
        <v>121</v>
      </c>
    </row>
    <row r="305" spans="1:6" x14ac:dyDescent="0.25">
      <c r="A305" s="7">
        <v>303</v>
      </c>
      <c r="B305" s="9" t="s">
        <v>609</v>
      </c>
      <c r="C305" s="9" t="s">
        <v>610</v>
      </c>
      <c r="D305" s="7">
        <v>2</v>
      </c>
      <c r="E305" s="10">
        <v>21.53</v>
      </c>
      <c r="F305" s="10">
        <v>69</v>
      </c>
    </row>
    <row r="306" spans="1:6" x14ac:dyDescent="0.25">
      <c r="A306" s="7">
        <v>304</v>
      </c>
      <c r="B306" s="9" t="s">
        <v>611</v>
      </c>
      <c r="C306" s="9" t="s">
        <v>612</v>
      </c>
      <c r="D306" s="7">
        <v>2</v>
      </c>
      <c r="E306" s="10">
        <v>144.06</v>
      </c>
      <c r="F306" s="10">
        <v>248.00000349999999</v>
      </c>
    </row>
    <row r="307" spans="1:6" x14ac:dyDescent="0.25">
      <c r="A307" s="7">
        <v>305</v>
      </c>
      <c r="B307" s="9" t="s">
        <v>613</v>
      </c>
      <c r="C307" s="9" t="s">
        <v>614</v>
      </c>
      <c r="D307" s="7">
        <v>2</v>
      </c>
      <c r="E307" s="10">
        <v>38.61</v>
      </c>
      <c r="F307" s="10">
        <v>89</v>
      </c>
    </row>
    <row r="308" spans="1:6" x14ac:dyDescent="0.25">
      <c r="A308" s="7">
        <v>306</v>
      </c>
      <c r="B308" s="9" t="s">
        <v>615</v>
      </c>
      <c r="C308" s="9" t="s">
        <v>616</v>
      </c>
      <c r="D308" s="7">
        <v>2</v>
      </c>
      <c r="E308" s="10">
        <v>67.790000000000006</v>
      </c>
      <c r="F308" s="10">
        <v>125</v>
      </c>
    </row>
    <row r="309" spans="1:6" x14ac:dyDescent="0.25">
      <c r="A309" s="7">
        <v>307</v>
      </c>
      <c r="B309" s="9" t="s">
        <v>617</v>
      </c>
      <c r="C309" s="9" t="s">
        <v>618</v>
      </c>
      <c r="D309" s="7">
        <v>2</v>
      </c>
      <c r="E309" s="10">
        <v>0</v>
      </c>
      <c r="F309" s="10">
        <v>23.2</v>
      </c>
    </row>
    <row r="310" spans="1:6" x14ac:dyDescent="0.25">
      <c r="A310" s="7">
        <v>308</v>
      </c>
      <c r="B310" s="9" t="s">
        <v>619</v>
      </c>
      <c r="C310" s="9" t="s">
        <v>620</v>
      </c>
      <c r="D310" s="7">
        <v>2</v>
      </c>
      <c r="E310" s="10">
        <v>3.44</v>
      </c>
      <c r="F310" s="10">
        <v>6.8</v>
      </c>
    </row>
    <row r="311" spans="1:6" x14ac:dyDescent="0.25">
      <c r="A311" s="7">
        <v>309</v>
      </c>
      <c r="B311" s="9" t="s">
        <v>621</v>
      </c>
      <c r="C311" s="9" t="s">
        <v>622</v>
      </c>
      <c r="D311" s="7">
        <v>1</v>
      </c>
      <c r="E311" s="10">
        <v>39.49</v>
      </c>
      <c r="F311" s="10">
        <v>105</v>
      </c>
    </row>
    <row r="312" spans="1:6" x14ac:dyDescent="0.25">
      <c r="A312" s="7">
        <v>310</v>
      </c>
      <c r="B312" s="9" t="s">
        <v>623</v>
      </c>
      <c r="C312" s="9" t="s">
        <v>624</v>
      </c>
      <c r="D312" s="7">
        <v>1</v>
      </c>
      <c r="E312" s="10">
        <v>0</v>
      </c>
      <c r="F312" s="10">
        <v>0</v>
      </c>
    </row>
    <row r="313" spans="1:6" x14ac:dyDescent="0.25">
      <c r="A313" s="7">
        <v>311</v>
      </c>
      <c r="B313" s="9" t="s">
        <v>625</v>
      </c>
      <c r="C313" s="9" t="s">
        <v>626</v>
      </c>
      <c r="D313" s="7">
        <v>1</v>
      </c>
      <c r="E313" s="10">
        <v>161</v>
      </c>
      <c r="F313" s="10">
        <v>289</v>
      </c>
    </row>
    <row r="314" spans="1:6" x14ac:dyDescent="0.25">
      <c r="A314" s="7">
        <v>312</v>
      </c>
      <c r="B314" s="9" t="s">
        <v>627</v>
      </c>
      <c r="C314" s="9" t="s">
        <v>628</v>
      </c>
      <c r="D314" s="7">
        <v>1</v>
      </c>
      <c r="E314" s="10">
        <v>28.05</v>
      </c>
      <c r="F314" s="10">
        <v>79</v>
      </c>
    </row>
    <row r="315" spans="1:6" x14ac:dyDescent="0.25">
      <c r="A315" s="7">
        <v>313</v>
      </c>
      <c r="B315" s="9" t="s">
        <v>629</v>
      </c>
      <c r="C315" s="9" t="s">
        <v>630</v>
      </c>
      <c r="D315" s="7">
        <v>1</v>
      </c>
      <c r="E315" s="10">
        <v>39.119999999999997</v>
      </c>
      <c r="F315" s="10">
        <v>85</v>
      </c>
    </row>
    <row r="316" spans="1:6" x14ac:dyDescent="0.25">
      <c r="A316" s="7">
        <v>314</v>
      </c>
      <c r="B316" s="9" t="s">
        <v>631</v>
      </c>
      <c r="C316" s="9" t="s">
        <v>632</v>
      </c>
      <c r="D316" s="7">
        <v>1</v>
      </c>
      <c r="E316" s="10">
        <v>16.72</v>
      </c>
      <c r="F316" s="10">
        <v>51.572152000000003</v>
      </c>
    </row>
    <row r="317" spans="1:6" x14ac:dyDescent="0.25">
      <c r="A317" s="7">
        <v>315</v>
      </c>
      <c r="B317" s="9" t="s">
        <v>633</v>
      </c>
      <c r="C317" s="9" t="s">
        <v>634</v>
      </c>
      <c r="D317" s="7">
        <v>1</v>
      </c>
      <c r="E317" s="10">
        <v>31.64</v>
      </c>
      <c r="F317" s="10">
        <v>85</v>
      </c>
    </row>
    <row r="318" spans="1:6" x14ac:dyDescent="0.25">
      <c r="A318" s="7">
        <v>316</v>
      </c>
      <c r="B318" s="9" t="s">
        <v>635</v>
      </c>
      <c r="C318" s="9" t="s">
        <v>636</v>
      </c>
      <c r="D318" s="7">
        <v>1</v>
      </c>
      <c r="E318" s="10">
        <v>20.170000000000002</v>
      </c>
      <c r="F318" s="10">
        <v>52</v>
      </c>
    </row>
    <row r="319" spans="1:6" x14ac:dyDescent="0.25">
      <c r="A319" s="7">
        <v>317</v>
      </c>
      <c r="B319" s="9" t="s">
        <v>637</v>
      </c>
      <c r="C319" s="9" t="s">
        <v>638</v>
      </c>
      <c r="D319" s="7">
        <v>1</v>
      </c>
      <c r="E319" s="10">
        <v>172.67</v>
      </c>
      <c r="F319" s="10">
        <v>289</v>
      </c>
    </row>
    <row r="320" spans="1:6" x14ac:dyDescent="0.25">
      <c r="A320" s="7">
        <v>318</v>
      </c>
      <c r="B320" s="9" t="s">
        <v>639</v>
      </c>
      <c r="C320" s="9" t="s">
        <v>640</v>
      </c>
      <c r="D320" s="7">
        <v>1</v>
      </c>
      <c r="E320" s="10">
        <v>169.49</v>
      </c>
      <c r="F320" s="10">
        <v>295</v>
      </c>
    </row>
    <row r="321" spans="1:6" x14ac:dyDescent="0.25">
      <c r="A321" s="7">
        <v>319</v>
      </c>
      <c r="B321" s="9" t="s">
        <v>641</v>
      </c>
      <c r="C321" s="9" t="s">
        <v>642</v>
      </c>
      <c r="D321" s="7">
        <v>1</v>
      </c>
      <c r="E321" s="10">
        <v>32.86</v>
      </c>
      <c r="F321" s="10">
        <v>75</v>
      </c>
    </row>
    <row r="322" spans="1:6" x14ac:dyDescent="0.25">
      <c r="A322" s="7">
        <v>320</v>
      </c>
      <c r="B322" s="9" t="s">
        <v>643</v>
      </c>
      <c r="C322" s="9" t="s">
        <v>644</v>
      </c>
      <c r="D322" s="7">
        <v>1</v>
      </c>
      <c r="E322" s="10">
        <v>41.45</v>
      </c>
      <c r="F322" s="10">
        <v>85</v>
      </c>
    </row>
    <row r="323" spans="1:6" x14ac:dyDescent="0.25">
      <c r="A323" s="7">
        <v>321</v>
      </c>
      <c r="B323" s="9" t="s">
        <v>645</v>
      </c>
      <c r="C323" s="9" t="s">
        <v>646</v>
      </c>
      <c r="D323" s="7">
        <v>1</v>
      </c>
      <c r="E323" s="10">
        <v>81.150000000000006</v>
      </c>
      <c r="F323" s="10">
        <v>142.9</v>
      </c>
    </row>
    <row r="324" spans="1:6" x14ac:dyDescent="0.25">
      <c r="A324" s="7">
        <v>322</v>
      </c>
      <c r="B324" s="9" t="s">
        <v>647</v>
      </c>
      <c r="C324" s="9" t="s">
        <v>648</v>
      </c>
      <c r="D324" s="7">
        <v>1</v>
      </c>
      <c r="E324" s="10">
        <v>132.19999999999999</v>
      </c>
      <c r="F324" s="10">
        <v>215</v>
      </c>
    </row>
    <row r="325" spans="1:6" x14ac:dyDescent="0.25">
      <c r="A325" s="7">
        <v>323</v>
      </c>
      <c r="B325" s="9" t="s">
        <v>649</v>
      </c>
      <c r="C325" s="9" t="s">
        <v>650</v>
      </c>
      <c r="D325" s="7">
        <v>1</v>
      </c>
      <c r="E325" s="10">
        <v>103.77</v>
      </c>
      <c r="F325" s="10">
        <v>207</v>
      </c>
    </row>
    <row r="326" spans="1:6" x14ac:dyDescent="0.25">
      <c r="A326" s="7">
        <v>324</v>
      </c>
      <c r="B326" s="9" t="s">
        <v>651</v>
      </c>
      <c r="C326" s="9" t="s">
        <v>652</v>
      </c>
      <c r="D326" s="7">
        <v>1</v>
      </c>
      <c r="E326" s="10">
        <v>61.86</v>
      </c>
      <c r="F326" s="10">
        <v>110</v>
      </c>
    </row>
    <row r="327" spans="1:6" x14ac:dyDescent="0.25">
      <c r="A327" s="7">
        <v>325</v>
      </c>
      <c r="B327" s="9" t="s">
        <v>653</v>
      </c>
      <c r="C327" s="9" t="s">
        <v>654</v>
      </c>
      <c r="D327" s="7">
        <v>1</v>
      </c>
      <c r="E327" s="10">
        <v>48.52</v>
      </c>
      <c r="F327" s="10">
        <v>122.36</v>
      </c>
    </row>
    <row r="328" spans="1:6" x14ac:dyDescent="0.25">
      <c r="A328" s="7">
        <v>326</v>
      </c>
      <c r="B328" s="9" t="s">
        <v>655</v>
      </c>
      <c r="C328" s="9" t="s">
        <v>656</v>
      </c>
      <c r="D328" s="7">
        <v>1</v>
      </c>
      <c r="E328" s="10">
        <v>22.88</v>
      </c>
      <c r="F328" s="10">
        <v>42</v>
      </c>
    </row>
    <row r="329" spans="1:6" x14ac:dyDescent="0.25">
      <c r="A329" s="7">
        <v>327</v>
      </c>
      <c r="B329" s="9" t="s">
        <v>657</v>
      </c>
      <c r="C329" s="9" t="s">
        <v>658</v>
      </c>
      <c r="D329" s="7">
        <v>1</v>
      </c>
      <c r="E329" s="10">
        <v>110.18</v>
      </c>
      <c r="F329" s="10">
        <v>199</v>
      </c>
    </row>
    <row r="330" spans="1:6" x14ac:dyDescent="0.25">
      <c r="A330" s="7">
        <v>328</v>
      </c>
      <c r="B330" s="9" t="s">
        <v>659</v>
      </c>
      <c r="C330" s="9" t="s">
        <v>660</v>
      </c>
      <c r="D330" s="7">
        <v>1</v>
      </c>
      <c r="E330" s="10">
        <v>225.96</v>
      </c>
      <c r="F330" s="10">
        <v>349</v>
      </c>
    </row>
    <row r="331" spans="1:6" x14ac:dyDescent="0.25">
      <c r="A331" s="7">
        <v>329</v>
      </c>
      <c r="B331" s="9" t="s">
        <v>661</v>
      </c>
      <c r="C331" s="9" t="s">
        <v>662</v>
      </c>
      <c r="D331" s="7">
        <v>1</v>
      </c>
      <c r="E331" s="10">
        <v>61.86</v>
      </c>
      <c r="F331" s="10">
        <v>110</v>
      </c>
    </row>
    <row r="332" spans="1:6" x14ac:dyDescent="0.25">
      <c r="A332" s="7">
        <v>330</v>
      </c>
      <c r="B332" s="9" t="s">
        <v>663</v>
      </c>
      <c r="C332" s="9" t="s">
        <v>664</v>
      </c>
      <c r="D332" s="7">
        <v>1</v>
      </c>
      <c r="E332" s="10">
        <v>27.84</v>
      </c>
      <c r="F332" s="10">
        <v>55</v>
      </c>
    </row>
    <row r="333" spans="1:6" x14ac:dyDescent="0.25">
      <c r="A333" s="7">
        <v>331</v>
      </c>
      <c r="B333" s="9" t="s">
        <v>665</v>
      </c>
      <c r="C333" s="9" t="s">
        <v>666</v>
      </c>
      <c r="D333" s="7">
        <v>1</v>
      </c>
      <c r="E333" s="10">
        <v>134.46</v>
      </c>
      <c r="F333" s="10">
        <v>265</v>
      </c>
    </row>
    <row r="334" spans="1:6" x14ac:dyDescent="0.25">
      <c r="A334" s="7">
        <v>332</v>
      </c>
      <c r="B334" s="9" t="s">
        <v>667</v>
      </c>
      <c r="C334" s="9" t="s">
        <v>668</v>
      </c>
      <c r="D334" s="7">
        <v>1</v>
      </c>
      <c r="E334" s="10">
        <v>16.91</v>
      </c>
      <c r="F334" s="10">
        <v>47.34</v>
      </c>
    </row>
    <row r="335" spans="1:6" x14ac:dyDescent="0.25">
      <c r="A335" s="7">
        <v>333</v>
      </c>
      <c r="B335" s="9" t="s">
        <v>669</v>
      </c>
      <c r="C335" s="9" t="s">
        <v>670</v>
      </c>
      <c r="D335" s="7">
        <v>1</v>
      </c>
      <c r="E335" s="10">
        <v>37.630000000000003</v>
      </c>
      <c r="F335" s="10">
        <v>87.036666999999994</v>
      </c>
    </row>
    <row r="336" spans="1:6" x14ac:dyDescent="0.25">
      <c r="A336" s="7">
        <v>334</v>
      </c>
      <c r="B336" s="9" t="s">
        <v>671</v>
      </c>
      <c r="C336" s="9" t="s">
        <v>672</v>
      </c>
      <c r="D336" s="7">
        <v>1</v>
      </c>
      <c r="E336" s="10">
        <v>16.91</v>
      </c>
      <c r="F336" s="10">
        <v>49</v>
      </c>
    </row>
    <row r="337" spans="1:6" x14ac:dyDescent="0.25">
      <c r="A337" s="7">
        <v>335</v>
      </c>
      <c r="B337" s="9" t="s">
        <v>673</v>
      </c>
      <c r="C337" s="9" t="s">
        <v>674</v>
      </c>
      <c r="D337" s="7">
        <v>1</v>
      </c>
      <c r="E337" s="10">
        <v>47.04</v>
      </c>
      <c r="F337" s="10">
        <v>99</v>
      </c>
    </row>
    <row r="338" spans="1:6" x14ac:dyDescent="0.25">
      <c r="A338" s="7">
        <v>336</v>
      </c>
      <c r="B338" s="9" t="s">
        <v>675</v>
      </c>
      <c r="C338" s="9" t="s">
        <v>676</v>
      </c>
      <c r="D338" s="7">
        <v>1</v>
      </c>
      <c r="E338" s="10">
        <v>16.899999999999999</v>
      </c>
      <c r="F338" s="10">
        <v>47.919063999999999</v>
      </c>
    </row>
    <row r="339" spans="1:6" x14ac:dyDescent="0.25">
      <c r="A339" s="7">
        <v>337</v>
      </c>
      <c r="B339" s="9" t="s">
        <v>677</v>
      </c>
      <c r="C339" s="9" t="s">
        <v>678</v>
      </c>
      <c r="D339" s="7">
        <v>1</v>
      </c>
      <c r="E339" s="10">
        <v>0</v>
      </c>
      <c r="F339" s="10">
        <v>69</v>
      </c>
    </row>
    <row r="340" spans="1:6" x14ac:dyDescent="0.25">
      <c r="A340" s="7">
        <v>338</v>
      </c>
      <c r="B340" s="9" t="s">
        <v>679</v>
      </c>
      <c r="C340" s="9" t="s">
        <v>680</v>
      </c>
      <c r="D340" s="7">
        <v>1</v>
      </c>
      <c r="E340" s="10">
        <v>47.46</v>
      </c>
      <c r="F340" s="10">
        <v>89</v>
      </c>
    </row>
    <row r="341" spans="1:6" x14ac:dyDescent="0.25">
      <c r="A341" s="7">
        <v>339</v>
      </c>
      <c r="B341" s="9" t="s">
        <v>681</v>
      </c>
      <c r="C341" s="9" t="s">
        <v>682</v>
      </c>
      <c r="D341" s="7">
        <v>1</v>
      </c>
      <c r="E341" s="10">
        <v>0</v>
      </c>
      <c r="F341" s="10">
        <v>114.38961</v>
      </c>
    </row>
    <row r="342" spans="1:6" x14ac:dyDescent="0.25">
      <c r="A342" s="7">
        <v>340</v>
      </c>
      <c r="B342" s="9" t="s">
        <v>683</v>
      </c>
      <c r="C342" s="9" t="s">
        <v>684</v>
      </c>
      <c r="D342" s="7">
        <v>1</v>
      </c>
      <c r="E342" s="10">
        <v>169.06</v>
      </c>
      <c r="F342" s="10">
        <v>269</v>
      </c>
    </row>
    <row r="343" spans="1:6" x14ac:dyDescent="0.25">
      <c r="A343" s="7">
        <v>341</v>
      </c>
      <c r="B343" s="9" t="s">
        <v>685</v>
      </c>
      <c r="C343" s="9" t="s">
        <v>686</v>
      </c>
      <c r="D343" s="7">
        <v>1</v>
      </c>
      <c r="E343" s="10">
        <v>77.959999999999994</v>
      </c>
      <c r="F343" s="10">
        <v>132</v>
      </c>
    </row>
    <row r="344" spans="1:6" x14ac:dyDescent="0.25">
      <c r="A344" s="7">
        <v>342</v>
      </c>
      <c r="B344" s="9" t="s">
        <v>687</v>
      </c>
      <c r="C344" s="9" t="s">
        <v>688</v>
      </c>
      <c r="D344" s="7">
        <v>1</v>
      </c>
      <c r="E344" s="10">
        <v>59.32</v>
      </c>
      <c r="F344" s="10">
        <v>115</v>
      </c>
    </row>
    <row r="345" spans="1:6" x14ac:dyDescent="0.25">
      <c r="A345" s="7">
        <v>343</v>
      </c>
      <c r="B345" s="9" t="s">
        <v>689</v>
      </c>
      <c r="C345" s="9" t="s">
        <v>690</v>
      </c>
      <c r="D345" s="7">
        <v>1</v>
      </c>
      <c r="E345" s="10">
        <v>160.16999999999999</v>
      </c>
      <c r="F345" s="10">
        <v>255.6</v>
      </c>
    </row>
    <row r="346" spans="1:6" x14ac:dyDescent="0.25">
      <c r="A346" s="7">
        <v>344</v>
      </c>
      <c r="B346" s="9" t="s">
        <v>691</v>
      </c>
      <c r="C346" s="9" t="s">
        <v>692</v>
      </c>
      <c r="D346" s="7">
        <v>1</v>
      </c>
      <c r="E346" s="10">
        <v>67.790000000000006</v>
      </c>
      <c r="F346" s="10">
        <v>114</v>
      </c>
    </row>
    <row r="347" spans="1:6" x14ac:dyDescent="0.25">
      <c r="A347" s="7">
        <v>345</v>
      </c>
      <c r="B347" s="9" t="s">
        <v>693</v>
      </c>
      <c r="C347" s="9" t="s">
        <v>694</v>
      </c>
      <c r="D347" s="7">
        <v>1</v>
      </c>
      <c r="E347" s="10">
        <v>60.43</v>
      </c>
      <c r="F347" s="10">
        <v>105.76</v>
      </c>
    </row>
    <row r="348" spans="1:6" x14ac:dyDescent="0.25">
      <c r="A348" s="7">
        <v>346</v>
      </c>
      <c r="B348" s="9" t="s">
        <v>695</v>
      </c>
      <c r="C348" s="9" t="s">
        <v>696</v>
      </c>
      <c r="D348" s="7">
        <v>1</v>
      </c>
      <c r="E348" s="10">
        <v>123.72</v>
      </c>
      <c r="F348" s="10">
        <v>195</v>
      </c>
    </row>
    <row r="349" spans="1:6" x14ac:dyDescent="0.25">
      <c r="A349" s="7">
        <v>347</v>
      </c>
      <c r="B349" s="9" t="s">
        <v>697</v>
      </c>
      <c r="C349" s="9" t="s">
        <v>698</v>
      </c>
      <c r="D349" s="7">
        <v>1</v>
      </c>
      <c r="E349" s="10">
        <v>16.72</v>
      </c>
      <c r="F349" s="10">
        <v>59</v>
      </c>
    </row>
    <row r="350" spans="1:6" x14ac:dyDescent="0.25">
      <c r="A350" s="7">
        <v>348</v>
      </c>
      <c r="B350" s="9" t="s">
        <v>699</v>
      </c>
      <c r="C350" s="9" t="s">
        <v>700</v>
      </c>
      <c r="D350" s="7">
        <v>1</v>
      </c>
      <c r="E350" s="10">
        <v>163.27000000000001</v>
      </c>
      <c r="F350" s="10">
        <v>295</v>
      </c>
    </row>
    <row r="351" spans="1:6" x14ac:dyDescent="0.25">
      <c r="A351" s="7">
        <v>349</v>
      </c>
      <c r="B351" s="9" t="s">
        <v>701</v>
      </c>
      <c r="C351" s="9" t="s">
        <v>702</v>
      </c>
      <c r="D351" s="7">
        <v>1</v>
      </c>
      <c r="E351" s="10">
        <v>50.19</v>
      </c>
      <c r="F351" s="10">
        <v>109</v>
      </c>
    </row>
    <row r="352" spans="1:6" x14ac:dyDescent="0.25">
      <c r="A352" s="7">
        <v>350</v>
      </c>
      <c r="B352" s="9" t="s">
        <v>703</v>
      </c>
      <c r="C352" s="9" t="s">
        <v>704</v>
      </c>
      <c r="D352" s="7">
        <v>1</v>
      </c>
      <c r="E352" s="10">
        <v>64.95</v>
      </c>
      <c r="F352" s="10">
        <v>110</v>
      </c>
    </row>
    <row r="353" spans="1:6" x14ac:dyDescent="0.25">
      <c r="A353" s="7">
        <v>351</v>
      </c>
      <c r="B353" s="9" t="s">
        <v>705</v>
      </c>
      <c r="C353" s="9" t="s">
        <v>706</v>
      </c>
      <c r="D353" s="7">
        <v>1</v>
      </c>
      <c r="E353" s="10">
        <v>27.12</v>
      </c>
      <c r="F353" s="10">
        <v>64.28</v>
      </c>
    </row>
    <row r="354" spans="1:6" x14ac:dyDescent="0.25">
      <c r="A354" s="7">
        <v>352</v>
      </c>
      <c r="B354" s="9" t="s">
        <v>707</v>
      </c>
      <c r="C354" s="9" t="s">
        <v>708</v>
      </c>
      <c r="D354" s="7">
        <v>1</v>
      </c>
      <c r="E354" s="10">
        <v>55.72</v>
      </c>
      <c r="F354" s="10">
        <v>116.9</v>
      </c>
    </row>
    <row r="355" spans="1:6" x14ac:dyDescent="0.25">
      <c r="A355" s="7">
        <v>353</v>
      </c>
      <c r="B355" s="9" t="s">
        <v>709</v>
      </c>
      <c r="C355" s="9" t="s">
        <v>710</v>
      </c>
      <c r="D355" s="7">
        <v>1</v>
      </c>
      <c r="E355" s="10">
        <v>27.12</v>
      </c>
      <c r="F355" s="10">
        <v>69.900000000000006</v>
      </c>
    </row>
    <row r="356" spans="1:6" x14ac:dyDescent="0.25">
      <c r="A356" s="7">
        <v>354</v>
      </c>
      <c r="B356" s="9" t="s">
        <v>711</v>
      </c>
      <c r="C356" s="9" t="s">
        <v>712</v>
      </c>
      <c r="D356" s="7">
        <v>1</v>
      </c>
      <c r="E356" s="10">
        <v>60.9</v>
      </c>
      <c r="F356" s="10">
        <v>153</v>
      </c>
    </row>
    <row r="357" spans="1:6" x14ac:dyDescent="0.25">
      <c r="A357" s="7">
        <v>355</v>
      </c>
      <c r="B357" s="9" t="s">
        <v>713</v>
      </c>
      <c r="C357" s="9" t="s">
        <v>714</v>
      </c>
      <c r="D357" s="7">
        <v>1</v>
      </c>
      <c r="E357" s="10">
        <v>0</v>
      </c>
      <c r="F357" s="10">
        <v>0</v>
      </c>
    </row>
    <row r="358" spans="1:6" x14ac:dyDescent="0.25">
      <c r="A358" s="7">
        <v>356</v>
      </c>
      <c r="B358" s="9" t="s">
        <v>715</v>
      </c>
      <c r="C358" s="9" t="s">
        <v>716</v>
      </c>
      <c r="D358" s="7">
        <v>1</v>
      </c>
      <c r="E358" s="10">
        <v>61.86</v>
      </c>
      <c r="F358" s="10">
        <v>110</v>
      </c>
    </row>
    <row r="359" spans="1:6" x14ac:dyDescent="0.25">
      <c r="A359" s="7">
        <v>357</v>
      </c>
      <c r="B359" s="9" t="s">
        <v>717</v>
      </c>
      <c r="C359" s="9" t="s">
        <v>718</v>
      </c>
      <c r="D359" s="7">
        <v>1</v>
      </c>
      <c r="E359" s="10">
        <v>20.72</v>
      </c>
      <c r="F359" s="10">
        <v>39</v>
      </c>
    </row>
    <row r="360" spans="1:6" x14ac:dyDescent="0.25">
      <c r="A360" s="7">
        <v>358</v>
      </c>
      <c r="B360" s="9" t="s">
        <v>719</v>
      </c>
      <c r="C360" s="9" t="s">
        <v>720</v>
      </c>
      <c r="D360" s="7">
        <v>1</v>
      </c>
      <c r="E360" s="10">
        <v>93.22</v>
      </c>
      <c r="F360" s="10">
        <v>172.9</v>
      </c>
    </row>
    <row r="361" spans="1:6" x14ac:dyDescent="0.25">
      <c r="A361" s="7">
        <v>359</v>
      </c>
      <c r="B361" s="9" t="s">
        <v>721</v>
      </c>
      <c r="C361" s="9" t="s">
        <v>722</v>
      </c>
      <c r="D361" s="7">
        <v>1</v>
      </c>
      <c r="E361" s="10">
        <v>20.72</v>
      </c>
      <c r="F361" s="10">
        <v>39</v>
      </c>
    </row>
    <row r="362" spans="1:6" x14ac:dyDescent="0.25">
      <c r="A362" s="7">
        <v>360</v>
      </c>
      <c r="B362" s="9" t="s">
        <v>723</v>
      </c>
      <c r="C362" s="9" t="s">
        <v>724</v>
      </c>
      <c r="D362" s="7">
        <v>1</v>
      </c>
      <c r="E362" s="10">
        <v>59.32</v>
      </c>
      <c r="F362" s="10">
        <v>105</v>
      </c>
    </row>
    <row r="363" spans="1:6" x14ac:dyDescent="0.25">
      <c r="A363" s="7">
        <v>361</v>
      </c>
      <c r="B363" s="9" t="s">
        <v>725</v>
      </c>
      <c r="C363" s="9" t="s">
        <v>726</v>
      </c>
      <c r="D363" s="7">
        <v>1</v>
      </c>
      <c r="E363" s="10">
        <v>30.9</v>
      </c>
      <c r="F363" s="10">
        <v>78</v>
      </c>
    </row>
    <row r="364" spans="1:6" x14ac:dyDescent="0.25">
      <c r="A364" s="7">
        <v>362</v>
      </c>
      <c r="B364" s="9" t="s">
        <v>727</v>
      </c>
      <c r="C364" s="9" t="s">
        <v>728</v>
      </c>
      <c r="D364" s="7">
        <v>1</v>
      </c>
      <c r="E364" s="10">
        <v>155.94</v>
      </c>
      <c r="F364" s="10">
        <v>264</v>
      </c>
    </row>
    <row r="365" spans="1:6" x14ac:dyDescent="0.25">
      <c r="A365" s="7">
        <v>363</v>
      </c>
      <c r="B365" s="9" t="s">
        <v>729</v>
      </c>
      <c r="C365" s="9" t="s">
        <v>730</v>
      </c>
      <c r="D365" s="7">
        <v>1</v>
      </c>
      <c r="E365" s="10">
        <v>41.2</v>
      </c>
      <c r="F365" s="10">
        <v>89</v>
      </c>
    </row>
    <row r="366" spans="1:6" x14ac:dyDescent="0.25">
      <c r="A366" s="7">
        <v>364</v>
      </c>
      <c r="B366" s="9" t="s">
        <v>731</v>
      </c>
      <c r="C366" s="9" t="s">
        <v>732</v>
      </c>
      <c r="D366" s="7">
        <v>1</v>
      </c>
      <c r="E366" s="10">
        <v>63.28</v>
      </c>
      <c r="F366" s="10">
        <v>148.9</v>
      </c>
    </row>
    <row r="367" spans="1:6" x14ac:dyDescent="0.25">
      <c r="A367" s="7">
        <v>365</v>
      </c>
      <c r="B367" s="9" t="s">
        <v>733</v>
      </c>
      <c r="C367" s="9" t="s">
        <v>734</v>
      </c>
      <c r="D367" s="7">
        <v>1</v>
      </c>
      <c r="E367" s="10">
        <v>26.7</v>
      </c>
      <c r="F367" s="10">
        <v>55</v>
      </c>
    </row>
    <row r="368" spans="1:6" x14ac:dyDescent="0.25">
      <c r="A368" s="7">
        <v>366</v>
      </c>
      <c r="B368" s="9" t="s">
        <v>735</v>
      </c>
      <c r="C368" s="9" t="s">
        <v>736</v>
      </c>
      <c r="D368" s="7">
        <v>1</v>
      </c>
      <c r="E368" s="10">
        <v>69.709999999999994</v>
      </c>
      <c r="F368" s="10">
        <v>165</v>
      </c>
    </row>
    <row r="369" spans="1:6" x14ac:dyDescent="0.25">
      <c r="A369" s="7">
        <v>367</v>
      </c>
      <c r="B369" s="9" t="s">
        <v>737</v>
      </c>
      <c r="C369" s="9" t="s">
        <v>738</v>
      </c>
      <c r="D369" s="7">
        <v>1</v>
      </c>
      <c r="E369" s="10">
        <v>141.38999999999999</v>
      </c>
      <c r="F369" s="10">
        <v>299</v>
      </c>
    </row>
    <row r="370" spans="1:6" x14ac:dyDescent="0.25">
      <c r="A370" s="7">
        <v>368</v>
      </c>
      <c r="B370" s="9" t="s">
        <v>739</v>
      </c>
      <c r="C370" s="9" t="s">
        <v>740</v>
      </c>
      <c r="D370" s="7">
        <v>1</v>
      </c>
      <c r="E370" s="10">
        <v>75</v>
      </c>
      <c r="F370" s="10">
        <v>167</v>
      </c>
    </row>
    <row r="371" spans="1:6" x14ac:dyDescent="0.25">
      <c r="A371" s="7">
        <v>369</v>
      </c>
      <c r="B371" s="9" t="s">
        <v>741</v>
      </c>
      <c r="C371" s="9" t="s">
        <v>742</v>
      </c>
      <c r="D371" s="7">
        <v>1</v>
      </c>
      <c r="E371" s="10">
        <v>78.8</v>
      </c>
      <c r="F371" s="10">
        <v>149</v>
      </c>
    </row>
    <row r="372" spans="1:6" x14ac:dyDescent="0.25">
      <c r="A372" s="7">
        <v>370</v>
      </c>
      <c r="B372" s="9" t="s">
        <v>743</v>
      </c>
      <c r="C372" s="9" t="s">
        <v>744</v>
      </c>
      <c r="D372" s="7">
        <v>1</v>
      </c>
      <c r="E372" s="10">
        <v>53.55</v>
      </c>
      <c r="F372" s="10">
        <v>99</v>
      </c>
    </row>
    <row r="373" spans="1:6" x14ac:dyDescent="0.25">
      <c r="A373" s="7">
        <v>371</v>
      </c>
      <c r="B373" s="9" t="s">
        <v>745</v>
      </c>
      <c r="C373" s="9" t="s">
        <v>746</v>
      </c>
      <c r="D373" s="7">
        <v>1</v>
      </c>
      <c r="E373" s="10">
        <v>41.8</v>
      </c>
      <c r="F373" s="10">
        <v>107</v>
      </c>
    </row>
    <row r="374" spans="1:6" x14ac:dyDescent="0.25">
      <c r="A374" s="7">
        <v>372</v>
      </c>
      <c r="B374" s="9" t="s">
        <v>747</v>
      </c>
      <c r="C374" s="9" t="s">
        <v>748</v>
      </c>
      <c r="D374" s="7">
        <v>1</v>
      </c>
      <c r="E374" s="10">
        <v>99.56</v>
      </c>
      <c r="F374" s="10">
        <v>199</v>
      </c>
    </row>
    <row r="375" spans="1:6" x14ac:dyDescent="0.25">
      <c r="A375" s="7">
        <v>373</v>
      </c>
      <c r="B375" s="9" t="s">
        <v>749</v>
      </c>
      <c r="C375" s="9" t="s">
        <v>750</v>
      </c>
      <c r="D375" s="7">
        <v>1</v>
      </c>
      <c r="E375" s="10">
        <v>96.1</v>
      </c>
      <c r="F375" s="10">
        <v>197</v>
      </c>
    </row>
    <row r="376" spans="1:6" x14ac:dyDescent="0.25">
      <c r="A376" s="7">
        <v>374</v>
      </c>
      <c r="B376" s="9" t="s">
        <v>751</v>
      </c>
      <c r="C376" s="9" t="s">
        <v>752</v>
      </c>
      <c r="D376" s="7">
        <v>1</v>
      </c>
      <c r="E376" s="10">
        <v>135.58000000000001</v>
      </c>
      <c r="F376" s="10">
        <v>301</v>
      </c>
    </row>
    <row r="377" spans="1:6" x14ac:dyDescent="0.25">
      <c r="A377" s="7">
        <v>375</v>
      </c>
      <c r="B377" s="9" t="s">
        <v>753</v>
      </c>
      <c r="C377" s="9" t="s">
        <v>754</v>
      </c>
      <c r="D377" s="7">
        <v>1</v>
      </c>
      <c r="E377" s="10">
        <v>338.98</v>
      </c>
      <c r="F377" s="10">
        <v>549</v>
      </c>
    </row>
    <row r="378" spans="1:6" x14ac:dyDescent="0.25">
      <c r="A378" s="7">
        <v>376</v>
      </c>
      <c r="B378" s="9" t="s">
        <v>755</v>
      </c>
      <c r="C378" s="9" t="s">
        <v>756</v>
      </c>
      <c r="D378" s="7">
        <v>1</v>
      </c>
      <c r="E378" s="10">
        <v>436.6</v>
      </c>
      <c r="F378" s="10">
        <v>696.96</v>
      </c>
    </row>
    <row r="379" spans="1:6" x14ac:dyDescent="0.25">
      <c r="A379" s="7">
        <v>377</v>
      </c>
      <c r="B379" s="9" t="s">
        <v>757</v>
      </c>
      <c r="C379" s="9" t="s">
        <v>758</v>
      </c>
      <c r="D379" s="7">
        <v>1</v>
      </c>
      <c r="E379" s="10">
        <v>19.190000000000001</v>
      </c>
      <c r="F379" s="10">
        <v>59</v>
      </c>
    </row>
    <row r="380" spans="1:6" x14ac:dyDescent="0.25">
      <c r="A380" s="7">
        <v>378</v>
      </c>
      <c r="B380" s="9" t="s">
        <v>759</v>
      </c>
      <c r="C380" s="9" t="s">
        <v>760</v>
      </c>
      <c r="D380" s="7">
        <v>1</v>
      </c>
      <c r="E380" s="10">
        <v>295.54000000000002</v>
      </c>
      <c r="F380" s="10">
        <v>423</v>
      </c>
    </row>
    <row r="381" spans="1:6" x14ac:dyDescent="0.25">
      <c r="A381" s="7">
        <v>379</v>
      </c>
      <c r="B381" s="9" t="s">
        <v>761</v>
      </c>
      <c r="C381" s="9" t="s">
        <v>762</v>
      </c>
      <c r="D381" s="7">
        <v>1</v>
      </c>
      <c r="E381" s="10">
        <v>169.49</v>
      </c>
      <c r="F381" s="10">
        <v>295</v>
      </c>
    </row>
    <row r="382" spans="1:6" x14ac:dyDescent="0.25">
      <c r="A382" s="7">
        <v>380</v>
      </c>
      <c r="B382" s="9" t="s">
        <v>763</v>
      </c>
      <c r="C382" s="9" t="s">
        <v>764</v>
      </c>
      <c r="D382" s="7">
        <v>1</v>
      </c>
      <c r="E382" s="10">
        <v>47.24</v>
      </c>
      <c r="F382" s="10">
        <v>102</v>
      </c>
    </row>
    <row r="383" spans="1:6" x14ac:dyDescent="0.25">
      <c r="A383" s="7">
        <v>381</v>
      </c>
      <c r="B383" s="9" t="s">
        <v>765</v>
      </c>
      <c r="C383" s="9" t="s">
        <v>766</v>
      </c>
      <c r="D383" s="7">
        <v>1</v>
      </c>
      <c r="E383" s="10">
        <v>33.9</v>
      </c>
      <c r="F383" s="10">
        <v>83</v>
      </c>
    </row>
    <row r="384" spans="1:6" x14ac:dyDescent="0.25">
      <c r="A384" s="7">
        <v>382</v>
      </c>
      <c r="B384" s="9" t="s">
        <v>767</v>
      </c>
      <c r="C384" s="9" t="s">
        <v>768</v>
      </c>
      <c r="D384" s="7">
        <v>1</v>
      </c>
      <c r="E384" s="10">
        <v>51.42</v>
      </c>
      <c r="F384" s="10">
        <v>90</v>
      </c>
    </row>
    <row r="385" spans="1:6" x14ac:dyDescent="0.25">
      <c r="A385" s="7">
        <v>383</v>
      </c>
      <c r="B385" s="9" t="s">
        <v>769</v>
      </c>
      <c r="C385" s="9" t="s">
        <v>770</v>
      </c>
      <c r="D385" s="7">
        <v>1</v>
      </c>
      <c r="E385" s="10">
        <v>19.190000000000001</v>
      </c>
      <c r="F385" s="10">
        <v>59</v>
      </c>
    </row>
    <row r="386" spans="1:6" x14ac:dyDescent="0.25">
      <c r="A386" s="7">
        <v>384</v>
      </c>
      <c r="B386" s="9" t="s">
        <v>771</v>
      </c>
      <c r="C386" s="9" t="s">
        <v>772</v>
      </c>
      <c r="D386" s="7">
        <v>1</v>
      </c>
      <c r="E386" s="10">
        <v>70.17</v>
      </c>
      <c r="F386" s="10">
        <v>132</v>
      </c>
    </row>
    <row r="387" spans="1:6" x14ac:dyDescent="0.25">
      <c r="A387" s="7">
        <v>385</v>
      </c>
      <c r="B387" s="9" t="s">
        <v>773</v>
      </c>
      <c r="C387" s="9" t="s">
        <v>774</v>
      </c>
      <c r="D387" s="7">
        <v>1</v>
      </c>
      <c r="E387" s="10">
        <v>31.64</v>
      </c>
      <c r="F387" s="10">
        <v>83</v>
      </c>
    </row>
    <row r="388" spans="1:6" x14ac:dyDescent="0.25">
      <c r="A388" s="7">
        <v>386</v>
      </c>
      <c r="B388" s="9" t="s">
        <v>775</v>
      </c>
      <c r="C388" s="9" t="s">
        <v>776</v>
      </c>
      <c r="D388" s="7">
        <v>1</v>
      </c>
      <c r="E388" s="10">
        <v>70.17</v>
      </c>
      <c r="F388" s="10">
        <v>125.4</v>
      </c>
    </row>
    <row r="389" spans="1:6" x14ac:dyDescent="0.25">
      <c r="A389" s="7">
        <v>387</v>
      </c>
      <c r="B389" s="9" t="s">
        <v>777</v>
      </c>
      <c r="C389" s="9" t="s">
        <v>778</v>
      </c>
      <c r="D389" s="7">
        <v>1</v>
      </c>
      <c r="E389" s="10">
        <v>37.630000000000003</v>
      </c>
      <c r="F389" s="10">
        <v>99.9</v>
      </c>
    </row>
    <row r="390" spans="1:6" x14ac:dyDescent="0.25">
      <c r="A390" s="7">
        <v>388</v>
      </c>
      <c r="B390" s="9" t="s">
        <v>779</v>
      </c>
      <c r="C390" s="9" t="s">
        <v>780</v>
      </c>
      <c r="D390" s="7">
        <v>1</v>
      </c>
      <c r="E390" s="10">
        <v>51.41</v>
      </c>
      <c r="F390" s="10">
        <v>115</v>
      </c>
    </row>
    <row r="391" spans="1:6" x14ac:dyDescent="0.25">
      <c r="A391" s="7">
        <v>389</v>
      </c>
      <c r="B391" s="9" t="s">
        <v>781</v>
      </c>
      <c r="C391" s="9" t="s">
        <v>782</v>
      </c>
      <c r="D391" s="7">
        <v>1</v>
      </c>
      <c r="E391" s="10">
        <v>41.2</v>
      </c>
      <c r="F391" s="10">
        <v>97</v>
      </c>
    </row>
    <row r="392" spans="1:6" x14ac:dyDescent="0.25">
      <c r="A392" s="7">
        <v>390</v>
      </c>
      <c r="B392" s="9" t="s">
        <v>783</v>
      </c>
      <c r="C392" s="9" t="s">
        <v>784</v>
      </c>
      <c r="D392" s="7">
        <v>1</v>
      </c>
      <c r="E392" s="10">
        <v>87.53</v>
      </c>
      <c r="F392" s="10">
        <v>195</v>
      </c>
    </row>
    <row r="393" spans="1:6" x14ac:dyDescent="0.25">
      <c r="A393" s="7">
        <v>391</v>
      </c>
      <c r="B393" s="9" t="s">
        <v>785</v>
      </c>
      <c r="C393" s="9" t="s">
        <v>786</v>
      </c>
      <c r="D393" s="7">
        <v>1</v>
      </c>
      <c r="E393" s="10">
        <v>53.89</v>
      </c>
      <c r="F393" s="10">
        <v>119</v>
      </c>
    </row>
    <row r="394" spans="1:6" x14ac:dyDescent="0.25">
      <c r="A394" s="7">
        <v>392</v>
      </c>
      <c r="B394" s="9" t="s">
        <v>787</v>
      </c>
      <c r="C394" s="9" t="s">
        <v>788</v>
      </c>
      <c r="D394" s="7">
        <v>1</v>
      </c>
      <c r="E394" s="10">
        <v>0</v>
      </c>
      <c r="F394" s="10">
        <v>0</v>
      </c>
    </row>
    <row r="395" spans="1:6" x14ac:dyDescent="0.25">
      <c r="A395" s="7">
        <v>393</v>
      </c>
      <c r="B395" s="9" t="s">
        <v>789</v>
      </c>
      <c r="C395" s="9" t="s">
        <v>790</v>
      </c>
      <c r="D395" s="7">
        <v>1</v>
      </c>
      <c r="E395" s="10">
        <v>24.45</v>
      </c>
      <c r="F395" s="10">
        <v>73</v>
      </c>
    </row>
    <row r="396" spans="1:6" x14ac:dyDescent="0.25">
      <c r="A396" s="7">
        <v>394</v>
      </c>
      <c r="B396" s="9" t="s">
        <v>791</v>
      </c>
      <c r="C396" s="9" t="s">
        <v>792</v>
      </c>
      <c r="D396" s="7">
        <v>1</v>
      </c>
      <c r="E396" s="10">
        <v>110.25</v>
      </c>
      <c r="F396" s="10">
        <v>259</v>
      </c>
    </row>
    <row r="397" spans="1:6" x14ac:dyDescent="0.25">
      <c r="A397" s="7">
        <v>395</v>
      </c>
      <c r="B397" s="9" t="s">
        <v>793</v>
      </c>
      <c r="C397" s="9" t="s">
        <v>794</v>
      </c>
      <c r="D397" s="7">
        <v>1</v>
      </c>
      <c r="E397" s="10">
        <v>89.82</v>
      </c>
      <c r="F397" s="10">
        <v>169</v>
      </c>
    </row>
    <row r="398" spans="1:6" x14ac:dyDescent="0.25">
      <c r="A398" s="7">
        <v>396</v>
      </c>
      <c r="B398" s="9" t="s">
        <v>795</v>
      </c>
      <c r="C398" s="9" t="s">
        <v>796</v>
      </c>
      <c r="D398" s="7">
        <v>1</v>
      </c>
      <c r="E398" s="10">
        <v>44.98</v>
      </c>
      <c r="F398" s="10">
        <v>98.54</v>
      </c>
    </row>
    <row r="399" spans="1:6" x14ac:dyDescent="0.25">
      <c r="A399" s="7">
        <v>397</v>
      </c>
      <c r="B399" s="9" t="s">
        <v>797</v>
      </c>
      <c r="C399" s="9" t="s">
        <v>798</v>
      </c>
      <c r="D399" s="7">
        <v>1</v>
      </c>
      <c r="E399" s="10">
        <v>67.069999999999993</v>
      </c>
      <c r="F399" s="10">
        <v>150.9</v>
      </c>
    </row>
    <row r="400" spans="1:6" x14ac:dyDescent="0.25">
      <c r="A400" s="7">
        <v>398</v>
      </c>
      <c r="B400" s="9" t="s">
        <v>799</v>
      </c>
      <c r="C400" s="9" t="s">
        <v>800</v>
      </c>
      <c r="D400" s="7">
        <v>1</v>
      </c>
      <c r="E400" s="10">
        <v>138.24</v>
      </c>
      <c r="F400" s="10">
        <v>285</v>
      </c>
    </row>
    <row r="401" spans="1:6" x14ac:dyDescent="0.25">
      <c r="A401" s="7">
        <v>399</v>
      </c>
      <c r="B401" s="9" t="s">
        <v>801</v>
      </c>
      <c r="C401" s="9" t="s">
        <v>802</v>
      </c>
      <c r="D401" s="7">
        <v>1</v>
      </c>
      <c r="E401" s="10">
        <v>100.52</v>
      </c>
      <c r="F401" s="10">
        <v>189</v>
      </c>
    </row>
    <row r="402" spans="1:6" x14ac:dyDescent="0.25">
      <c r="A402" s="7">
        <v>400</v>
      </c>
      <c r="B402" s="9" t="s">
        <v>803</v>
      </c>
      <c r="C402" s="9" t="s">
        <v>804</v>
      </c>
      <c r="D402" s="7">
        <v>1</v>
      </c>
      <c r="E402" s="10">
        <v>278.56</v>
      </c>
      <c r="F402" s="10">
        <v>449</v>
      </c>
    </row>
    <row r="403" spans="1:6" x14ac:dyDescent="0.25">
      <c r="A403" s="7">
        <v>401</v>
      </c>
      <c r="B403" s="9" t="s">
        <v>805</v>
      </c>
      <c r="C403" s="9" t="s">
        <v>806</v>
      </c>
      <c r="D403" s="7">
        <v>1</v>
      </c>
      <c r="E403" s="10">
        <v>169.49</v>
      </c>
      <c r="F403" s="10">
        <v>295</v>
      </c>
    </row>
    <row r="404" spans="1:6" x14ac:dyDescent="0.25">
      <c r="A404" s="7">
        <v>402</v>
      </c>
      <c r="B404" s="9" t="s">
        <v>807</v>
      </c>
      <c r="C404" s="9" t="s">
        <v>808</v>
      </c>
      <c r="D404" s="7">
        <v>1</v>
      </c>
      <c r="E404" s="10">
        <v>57.63</v>
      </c>
      <c r="F404" s="10">
        <v>119</v>
      </c>
    </row>
    <row r="405" spans="1:6" x14ac:dyDescent="0.25">
      <c r="A405" s="7">
        <v>403</v>
      </c>
      <c r="B405" s="9" t="s">
        <v>809</v>
      </c>
      <c r="C405" s="9" t="s">
        <v>810</v>
      </c>
      <c r="D405" s="7">
        <v>1</v>
      </c>
      <c r="E405" s="10">
        <v>0</v>
      </c>
      <c r="F405" s="10">
        <v>0</v>
      </c>
    </row>
    <row r="406" spans="1:6" x14ac:dyDescent="0.25">
      <c r="A406" s="7">
        <v>404</v>
      </c>
      <c r="B406" s="9" t="s">
        <v>811</v>
      </c>
      <c r="C406" s="9" t="s">
        <v>812</v>
      </c>
      <c r="D406" s="7">
        <v>1</v>
      </c>
      <c r="E406" s="10">
        <v>54</v>
      </c>
      <c r="F406" s="10">
        <v>97</v>
      </c>
    </row>
    <row r="407" spans="1:6" x14ac:dyDescent="0.25">
      <c r="A407" s="7">
        <v>405</v>
      </c>
      <c r="B407" s="9" t="s">
        <v>813</v>
      </c>
      <c r="C407" s="9" t="s">
        <v>814</v>
      </c>
      <c r="D407" s="7">
        <v>1</v>
      </c>
      <c r="E407" s="10">
        <v>20.72</v>
      </c>
      <c r="F407" s="10">
        <v>39</v>
      </c>
    </row>
    <row r="408" spans="1:6" x14ac:dyDescent="0.25">
      <c r="A408" s="7">
        <v>406</v>
      </c>
      <c r="B408" s="9" t="s">
        <v>815</v>
      </c>
      <c r="C408" s="9" t="s">
        <v>816</v>
      </c>
      <c r="D408" s="7">
        <v>1</v>
      </c>
      <c r="E408" s="10">
        <v>77.97</v>
      </c>
      <c r="F408" s="10">
        <v>118.8</v>
      </c>
    </row>
    <row r="409" spans="1:6" x14ac:dyDescent="0.25">
      <c r="A409" s="7">
        <v>407</v>
      </c>
      <c r="B409" s="9" t="s">
        <v>817</v>
      </c>
      <c r="C409" s="9" t="s">
        <v>818</v>
      </c>
      <c r="D409" s="7">
        <v>1</v>
      </c>
      <c r="E409" s="10">
        <v>180.44</v>
      </c>
      <c r="F409" s="10">
        <v>335</v>
      </c>
    </row>
    <row r="410" spans="1:6" x14ac:dyDescent="0.25">
      <c r="A410" s="7">
        <v>408</v>
      </c>
      <c r="B410" s="9" t="s">
        <v>819</v>
      </c>
      <c r="C410" s="9" t="s">
        <v>820</v>
      </c>
      <c r="D410" s="7">
        <v>1</v>
      </c>
      <c r="E410" s="10">
        <v>53.56</v>
      </c>
      <c r="F410" s="10">
        <v>102.000005</v>
      </c>
    </row>
    <row r="411" spans="1:6" x14ac:dyDescent="0.25">
      <c r="A411" s="7">
        <v>409</v>
      </c>
      <c r="B411" s="9" t="s">
        <v>821</v>
      </c>
      <c r="C411" s="9" t="s">
        <v>822</v>
      </c>
      <c r="D411" s="7">
        <v>1</v>
      </c>
      <c r="E411" s="10">
        <v>47.06</v>
      </c>
      <c r="F411" s="10">
        <v>102.9</v>
      </c>
    </row>
    <row r="412" spans="1:6" x14ac:dyDescent="0.25">
      <c r="A412" s="7">
        <v>410</v>
      </c>
      <c r="B412" s="9" t="s">
        <v>823</v>
      </c>
      <c r="C412" s="9" t="s">
        <v>824</v>
      </c>
      <c r="D412" s="7">
        <v>1</v>
      </c>
      <c r="E412" s="10">
        <v>98.55</v>
      </c>
      <c r="F412" s="10">
        <v>187</v>
      </c>
    </row>
    <row r="413" spans="1:6" x14ac:dyDescent="0.25">
      <c r="A413" s="7">
        <v>411</v>
      </c>
      <c r="B413" s="9" t="s">
        <v>825</v>
      </c>
      <c r="C413" s="9" t="s">
        <v>826</v>
      </c>
      <c r="D413" s="7">
        <v>1</v>
      </c>
      <c r="E413" s="10">
        <v>20.72</v>
      </c>
      <c r="F413" s="10">
        <v>37.68</v>
      </c>
    </row>
    <row r="414" spans="1:6" x14ac:dyDescent="0.25">
      <c r="A414" s="7">
        <v>412</v>
      </c>
      <c r="B414" s="9" t="s">
        <v>827</v>
      </c>
      <c r="C414" s="9" t="s">
        <v>828</v>
      </c>
      <c r="D414" s="7">
        <v>1</v>
      </c>
      <c r="E414" s="10">
        <v>44.99</v>
      </c>
      <c r="F414" s="10">
        <v>96.9</v>
      </c>
    </row>
    <row r="415" spans="1:6" x14ac:dyDescent="0.25">
      <c r="A415" s="7">
        <v>413</v>
      </c>
      <c r="B415" s="9" t="s">
        <v>829</v>
      </c>
      <c r="C415" s="9" t="s">
        <v>830</v>
      </c>
      <c r="D415" s="7">
        <v>1</v>
      </c>
      <c r="E415" s="10">
        <v>110.17</v>
      </c>
      <c r="F415" s="10">
        <v>195</v>
      </c>
    </row>
    <row r="416" spans="1:6" x14ac:dyDescent="0.25">
      <c r="A416" s="7">
        <v>414</v>
      </c>
      <c r="B416" s="9" t="s">
        <v>831</v>
      </c>
      <c r="C416" s="9" t="s">
        <v>832</v>
      </c>
      <c r="D416" s="7">
        <v>1</v>
      </c>
      <c r="E416" s="10">
        <v>44.07</v>
      </c>
      <c r="F416" s="10">
        <v>99</v>
      </c>
    </row>
    <row r="417" spans="1:6" x14ac:dyDescent="0.25">
      <c r="A417" s="7">
        <v>415</v>
      </c>
      <c r="B417" s="9" t="s">
        <v>833</v>
      </c>
      <c r="C417" s="9" t="s">
        <v>834</v>
      </c>
      <c r="D417" s="7">
        <v>1</v>
      </c>
      <c r="E417" s="10">
        <v>43.97</v>
      </c>
      <c r="F417" s="10">
        <v>85</v>
      </c>
    </row>
    <row r="418" spans="1:6" x14ac:dyDescent="0.25">
      <c r="A418" s="7">
        <v>416</v>
      </c>
      <c r="B418" s="9" t="s">
        <v>835</v>
      </c>
      <c r="C418" s="9" t="s">
        <v>836</v>
      </c>
      <c r="D418" s="7">
        <v>1</v>
      </c>
      <c r="E418" s="10">
        <v>150.38999999999999</v>
      </c>
      <c r="F418" s="10">
        <v>293</v>
      </c>
    </row>
    <row r="419" spans="1:6" x14ac:dyDescent="0.25">
      <c r="A419" s="7">
        <v>417</v>
      </c>
      <c r="B419" s="9" t="s">
        <v>837</v>
      </c>
      <c r="C419" s="9" t="s">
        <v>838</v>
      </c>
      <c r="D419" s="7">
        <v>1</v>
      </c>
      <c r="E419" s="10">
        <v>61.55</v>
      </c>
      <c r="F419" s="10">
        <v>119</v>
      </c>
    </row>
    <row r="420" spans="1:6" x14ac:dyDescent="0.25">
      <c r="A420" s="7">
        <v>418</v>
      </c>
      <c r="B420" s="9" t="s">
        <v>839</v>
      </c>
      <c r="C420" s="9" t="s">
        <v>840</v>
      </c>
      <c r="D420" s="7">
        <v>1</v>
      </c>
      <c r="E420" s="10">
        <v>77.959999999999994</v>
      </c>
      <c r="F420" s="10">
        <v>125.4</v>
      </c>
    </row>
    <row r="421" spans="1:6" x14ac:dyDescent="0.25">
      <c r="A421" s="7">
        <v>419</v>
      </c>
      <c r="B421" s="9" t="s">
        <v>841</v>
      </c>
      <c r="C421" s="9" t="s">
        <v>842</v>
      </c>
      <c r="D421" s="7">
        <v>1</v>
      </c>
      <c r="E421" s="10">
        <v>37.630000000000003</v>
      </c>
      <c r="F421" s="10">
        <v>89</v>
      </c>
    </row>
    <row r="422" spans="1:6" x14ac:dyDescent="0.25">
      <c r="A422" s="7">
        <v>420</v>
      </c>
      <c r="B422" s="9" t="s">
        <v>843</v>
      </c>
      <c r="C422" s="9" t="s">
        <v>844</v>
      </c>
      <c r="D422" s="7">
        <v>1</v>
      </c>
      <c r="E422" s="10">
        <v>16.68</v>
      </c>
      <c r="F422" s="10">
        <v>69</v>
      </c>
    </row>
    <row r="423" spans="1:6" x14ac:dyDescent="0.25">
      <c r="A423" s="7">
        <v>421</v>
      </c>
      <c r="B423" s="9" t="s">
        <v>845</v>
      </c>
      <c r="C423" s="9" t="s">
        <v>846</v>
      </c>
      <c r="D423" s="7">
        <v>1</v>
      </c>
      <c r="E423" s="10">
        <v>26.7</v>
      </c>
      <c r="F423" s="10">
        <v>55</v>
      </c>
    </row>
    <row r="424" spans="1:6" x14ac:dyDescent="0.25">
      <c r="A424" s="7">
        <v>422</v>
      </c>
      <c r="B424" s="9" t="s">
        <v>847</v>
      </c>
      <c r="C424" s="9" t="s">
        <v>848</v>
      </c>
      <c r="D424" s="7">
        <v>1</v>
      </c>
      <c r="E424" s="10">
        <v>64.47</v>
      </c>
      <c r="F424" s="10">
        <v>149</v>
      </c>
    </row>
    <row r="425" spans="1:6" x14ac:dyDescent="0.25">
      <c r="A425" s="7">
        <v>423</v>
      </c>
      <c r="B425" s="9" t="s">
        <v>849</v>
      </c>
      <c r="C425" s="9" t="s">
        <v>850</v>
      </c>
      <c r="D425" s="7">
        <v>1</v>
      </c>
      <c r="E425" s="10">
        <v>109.32</v>
      </c>
      <c r="F425" s="10">
        <v>243</v>
      </c>
    </row>
    <row r="426" spans="1:6" x14ac:dyDescent="0.25">
      <c r="A426" s="7">
        <v>424</v>
      </c>
      <c r="B426" s="9" t="s">
        <v>851</v>
      </c>
      <c r="C426" s="9" t="s">
        <v>852</v>
      </c>
      <c r="D426" s="7">
        <v>1</v>
      </c>
      <c r="E426" s="10">
        <v>36.159999999999997</v>
      </c>
      <c r="F426" s="10">
        <v>119</v>
      </c>
    </row>
    <row r="427" spans="1:6" x14ac:dyDescent="0.25">
      <c r="A427" s="7">
        <v>425</v>
      </c>
      <c r="B427" s="9" t="s">
        <v>853</v>
      </c>
      <c r="C427" s="9" t="s">
        <v>854</v>
      </c>
      <c r="D427" s="7">
        <v>1</v>
      </c>
      <c r="E427" s="10">
        <v>28.22</v>
      </c>
      <c r="F427" s="10">
        <v>55</v>
      </c>
    </row>
    <row r="428" spans="1:6" x14ac:dyDescent="0.25">
      <c r="A428" s="7">
        <v>426</v>
      </c>
      <c r="B428" s="9" t="s">
        <v>855</v>
      </c>
      <c r="C428" s="9" t="s">
        <v>856</v>
      </c>
      <c r="D428" s="7">
        <v>1</v>
      </c>
      <c r="E428" s="10">
        <v>71.53</v>
      </c>
      <c r="F428" s="10">
        <v>166.9</v>
      </c>
    </row>
    <row r="429" spans="1:6" x14ac:dyDescent="0.25">
      <c r="A429" s="7">
        <v>427</v>
      </c>
      <c r="B429" s="9" t="s">
        <v>857</v>
      </c>
      <c r="C429" s="9" t="s">
        <v>858</v>
      </c>
      <c r="D429" s="7">
        <v>1</v>
      </c>
      <c r="E429" s="10">
        <v>70</v>
      </c>
      <c r="F429" s="10">
        <v>116.1</v>
      </c>
    </row>
    <row r="430" spans="1:6" x14ac:dyDescent="0.25">
      <c r="A430" s="7">
        <v>428</v>
      </c>
      <c r="B430" s="9" t="s">
        <v>859</v>
      </c>
      <c r="C430" s="9" t="s">
        <v>860</v>
      </c>
      <c r="D430" s="7">
        <v>1</v>
      </c>
      <c r="E430" s="10">
        <v>100</v>
      </c>
      <c r="F430" s="10">
        <v>177</v>
      </c>
    </row>
    <row r="431" spans="1:6" x14ac:dyDescent="0.25">
      <c r="A431" s="7">
        <v>429</v>
      </c>
      <c r="B431" s="9" t="s">
        <v>861</v>
      </c>
      <c r="C431" s="9" t="s">
        <v>862</v>
      </c>
      <c r="D431" s="7">
        <v>1</v>
      </c>
      <c r="E431" s="10">
        <v>109.2</v>
      </c>
      <c r="F431" s="10">
        <v>190.6</v>
      </c>
    </row>
    <row r="432" spans="1:6" x14ac:dyDescent="0.25">
      <c r="A432" s="7">
        <v>430</v>
      </c>
      <c r="B432" s="9" t="s">
        <v>863</v>
      </c>
      <c r="C432" s="9" t="s">
        <v>864</v>
      </c>
      <c r="D432" s="7">
        <v>1</v>
      </c>
      <c r="E432" s="10">
        <v>76.89</v>
      </c>
      <c r="F432" s="10">
        <v>122</v>
      </c>
    </row>
    <row r="433" spans="1:6" x14ac:dyDescent="0.25">
      <c r="A433" s="7">
        <v>431</v>
      </c>
      <c r="B433" s="9" t="s">
        <v>865</v>
      </c>
      <c r="C433" s="9" t="s">
        <v>866</v>
      </c>
      <c r="D433" s="7">
        <v>1</v>
      </c>
      <c r="E433" s="10">
        <v>64.959999999999994</v>
      </c>
      <c r="F433" s="10">
        <v>98</v>
      </c>
    </row>
    <row r="434" spans="1:6" x14ac:dyDescent="0.25">
      <c r="A434" s="7">
        <v>432</v>
      </c>
      <c r="B434" s="9" t="s">
        <v>867</v>
      </c>
      <c r="C434" s="9" t="s">
        <v>868</v>
      </c>
      <c r="D434" s="7">
        <v>1</v>
      </c>
      <c r="E434" s="10">
        <v>100.11</v>
      </c>
      <c r="F434" s="10">
        <v>199.78</v>
      </c>
    </row>
    <row r="435" spans="1:6" x14ac:dyDescent="0.25">
      <c r="A435" s="7">
        <v>433</v>
      </c>
      <c r="B435" s="9" t="s">
        <v>869</v>
      </c>
      <c r="C435" s="9" t="s">
        <v>870</v>
      </c>
      <c r="D435" s="7">
        <v>1</v>
      </c>
      <c r="E435" s="10">
        <v>118.34</v>
      </c>
      <c r="F435" s="10">
        <v>195.28</v>
      </c>
    </row>
    <row r="436" spans="1:6" x14ac:dyDescent="0.25">
      <c r="A436" s="7">
        <v>434</v>
      </c>
      <c r="B436" s="9" t="s">
        <v>871</v>
      </c>
      <c r="C436" s="9" t="s">
        <v>872</v>
      </c>
      <c r="D436" s="7">
        <v>1</v>
      </c>
      <c r="E436" s="10">
        <v>110</v>
      </c>
      <c r="F436" s="10">
        <v>190</v>
      </c>
    </row>
    <row r="437" spans="1:6" x14ac:dyDescent="0.25">
      <c r="A437" s="7">
        <v>435</v>
      </c>
      <c r="B437" s="9" t="s">
        <v>873</v>
      </c>
      <c r="C437" s="9" t="s">
        <v>874</v>
      </c>
      <c r="D437" s="7">
        <v>1</v>
      </c>
      <c r="E437" s="10">
        <v>0</v>
      </c>
      <c r="F437" s="10">
        <v>125</v>
      </c>
    </row>
    <row r="438" spans="1:6" x14ac:dyDescent="0.25">
      <c r="A438" s="7">
        <v>436</v>
      </c>
      <c r="B438" s="9" t="s">
        <v>875</v>
      </c>
      <c r="C438" s="9" t="s">
        <v>876</v>
      </c>
      <c r="D438" s="7">
        <v>1</v>
      </c>
      <c r="E438" s="10">
        <v>0</v>
      </c>
      <c r="F438" s="10">
        <v>71.099999999999994</v>
      </c>
    </row>
    <row r="439" spans="1:6" x14ac:dyDescent="0.25">
      <c r="A439" s="7">
        <v>437</v>
      </c>
      <c r="B439" s="9" t="s">
        <v>877</v>
      </c>
      <c r="C439" s="9" t="s">
        <v>878</v>
      </c>
      <c r="D439" s="7">
        <v>1</v>
      </c>
      <c r="E439" s="10">
        <v>0</v>
      </c>
      <c r="F439" s="10">
        <v>10</v>
      </c>
    </row>
    <row r="440" spans="1:6" x14ac:dyDescent="0.25">
      <c r="A440" s="7">
        <v>438</v>
      </c>
      <c r="B440" s="9" t="s">
        <v>879</v>
      </c>
      <c r="C440" s="9" t="s">
        <v>880</v>
      </c>
      <c r="D440" s="7">
        <v>1</v>
      </c>
      <c r="E440" s="10">
        <v>96</v>
      </c>
      <c r="F440" s="10">
        <v>178</v>
      </c>
    </row>
    <row r="441" spans="1:6" x14ac:dyDescent="0.25">
      <c r="A441" s="7">
        <v>439</v>
      </c>
      <c r="B441" s="9" t="s">
        <v>881</v>
      </c>
      <c r="C441" s="9" t="s">
        <v>882</v>
      </c>
      <c r="D441" s="7">
        <v>1</v>
      </c>
      <c r="E441" s="10">
        <v>12.82</v>
      </c>
      <c r="F441" s="10">
        <v>26.5</v>
      </c>
    </row>
    <row r="442" spans="1:6" x14ac:dyDescent="0.25">
      <c r="A442" s="7">
        <v>440</v>
      </c>
      <c r="B442" s="9" t="s">
        <v>883</v>
      </c>
      <c r="C442" s="9" t="s">
        <v>884</v>
      </c>
      <c r="D442" s="7">
        <v>1</v>
      </c>
      <c r="E442" s="10">
        <v>174.29</v>
      </c>
      <c r="F442" s="10">
        <v>278</v>
      </c>
    </row>
    <row r="443" spans="1:6" x14ac:dyDescent="0.25">
      <c r="A443" s="7">
        <v>441</v>
      </c>
      <c r="B443" s="9" t="s">
        <v>885</v>
      </c>
      <c r="C443" s="9" t="s">
        <v>886</v>
      </c>
      <c r="D443" s="7">
        <v>1</v>
      </c>
      <c r="E443" s="10">
        <v>191</v>
      </c>
      <c r="F443" s="10">
        <v>323</v>
      </c>
    </row>
    <row r="444" spans="1:6" x14ac:dyDescent="0.25">
      <c r="A444" s="7">
        <v>442</v>
      </c>
      <c r="B444" s="9" t="s">
        <v>887</v>
      </c>
      <c r="C444" s="9" t="s">
        <v>888</v>
      </c>
      <c r="D444" s="7">
        <v>1</v>
      </c>
      <c r="E444" s="10">
        <v>73.5</v>
      </c>
      <c r="F444" s="10">
        <v>129</v>
      </c>
    </row>
    <row r="445" spans="1:6" x14ac:dyDescent="0.25">
      <c r="A445" s="7">
        <v>443</v>
      </c>
      <c r="B445" s="9" t="s">
        <v>889</v>
      </c>
      <c r="C445" s="9" t="s">
        <v>890</v>
      </c>
      <c r="D445" s="7">
        <v>1</v>
      </c>
      <c r="E445" s="10">
        <v>12.81</v>
      </c>
      <c r="F445" s="10">
        <v>26.5</v>
      </c>
    </row>
    <row r="446" spans="1:6" x14ac:dyDescent="0.25">
      <c r="A446" s="7">
        <v>444</v>
      </c>
      <c r="B446" s="9" t="s">
        <v>891</v>
      </c>
      <c r="C446" s="9" t="s">
        <v>892</v>
      </c>
      <c r="D446" s="7">
        <v>1</v>
      </c>
      <c r="E446" s="10">
        <v>161.57</v>
      </c>
      <c r="F446" s="10">
        <v>315</v>
      </c>
    </row>
    <row r="447" spans="1:6" x14ac:dyDescent="0.25">
      <c r="A447" s="7">
        <v>445</v>
      </c>
      <c r="B447" s="9" t="s">
        <v>893</v>
      </c>
      <c r="C447" s="9" t="s">
        <v>894</v>
      </c>
      <c r="D447" s="7">
        <v>1</v>
      </c>
      <c r="E447" s="10">
        <v>75.64</v>
      </c>
      <c r="F447" s="10">
        <v>127</v>
      </c>
    </row>
    <row r="448" spans="1:6" x14ac:dyDescent="0.25">
      <c r="A448" s="7">
        <v>446</v>
      </c>
      <c r="B448" s="9" t="s">
        <v>895</v>
      </c>
      <c r="C448" s="9" t="s">
        <v>896</v>
      </c>
      <c r="D448" s="7">
        <v>1</v>
      </c>
      <c r="E448" s="10">
        <v>64.180000000000007</v>
      </c>
      <c r="F448" s="10">
        <v>147</v>
      </c>
    </row>
    <row r="449" spans="1:6" x14ac:dyDescent="0.25">
      <c r="A449" s="7">
        <v>447</v>
      </c>
      <c r="B449" s="9" t="s">
        <v>897</v>
      </c>
      <c r="C449" s="9" t="s">
        <v>898</v>
      </c>
      <c r="D449" s="7">
        <v>1</v>
      </c>
      <c r="E449" s="10">
        <v>13.61</v>
      </c>
      <c r="F449" s="10">
        <v>26.5</v>
      </c>
    </row>
    <row r="450" spans="1:6" x14ac:dyDescent="0.25">
      <c r="A450" s="7">
        <v>448</v>
      </c>
      <c r="B450" s="9" t="s">
        <v>899</v>
      </c>
      <c r="C450" s="9" t="s">
        <v>900</v>
      </c>
      <c r="D450" s="7">
        <v>1</v>
      </c>
      <c r="E450" s="10">
        <v>43.72</v>
      </c>
      <c r="F450" s="10">
        <v>79.790000000000006</v>
      </c>
    </row>
    <row r="451" spans="1:6" x14ac:dyDescent="0.25">
      <c r="A451" s="7">
        <v>449</v>
      </c>
      <c r="B451" s="9" t="s">
        <v>901</v>
      </c>
      <c r="C451" s="9" t="s">
        <v>902</v>
      </c>
      <c r="D451" s="7">
        <v>1</v>
      </c>
      <c r="E451" s="10">
        <v>173.73</v>
      </c>
      <c r="F451" s="10">
        <v>305</v>
      </c>
    </row>
    <row r="452" spans="1:6" x14ac:dyDescent="0.25">
      <c r="A452" s="7">
        <v>450</v>
      </c>
      <c r="B452" s="9" t="s">
        <v>903</v>
      </c>
      <c r="C452" s="9" t="s">
        <v>904</v>
      </c>
      <c r="D452" s="7">
        <v>1</v>
      </c>
      <c r="E452" s="10">
        <v>99.75</v>
      </c>
      <c r="F452" s="10">
        <v>175.99999199999999</v>
      </c>
    </row>
    <row r="453" spans="1:6" x14ac:dyDescent="0.25">
      <c r="A453" s="7">
        <v>451</v>
      </c>
      <c r="B453" s="9" t="s">
        <v>905</v>
      </c>
      <c r="C453" s="9" t="s">
        <v>906</v>
      </c>
      <c r="D453" s="7">
        <v>1</v>
      </c>
      <c r="E453" s="10">
        <v>30.34</v>
      </c>
      <c r="F453" s="10">
        <v>76.900000000000006</v>
      </c>
    </row>
    <row r="454" spans="1:6" x14ac:dyDescent="0.25">
      <c r="A454" s="7">
        <v>452</v>
      </c>
      <c r="B454" s="9" t="s">
        <v>907</v>
      </c>
      <c r="C454" s="9" t="s">
        <v>908</v>
      </c>
      <c r="D454" s="7">
        <v>1</v>
      </c>
      <c r="E454" s="10">
        <v>132</v>
      </c>
      <c r="F454" s="10">
        <v>245</v>
      </c>
    </row>
    <row r="455" spans="1:6" x14ac:dyDescent="0.25">
      <c r="A455" s="7">
        <v>453</v>
      </c>
      <c r="B455" s="9" t="s">
        <v>909</v>
      </c>
      <c r="C455" s="9" t="s">
        <v>910</v>
      </c>
      <c r="D455" s="7">
        <v>1</v>
      </c>
      <c r="E455" s="10">
        <v>176.54</v>
      </c>
      <c r="F455" s="10">
        <v>359</v>
      </c>
    </row>
    <row r="456" spans="1:6" x14ac:dyDescent="0.25">
      <c r="A456" s="7">
        <v>454</v>
      </c>
      <c r="B456" s="9" t="s">
        <v>911</v>
      </c>
      <c r="C456" s="9" t="s">
        <v>912</v>
      </c>
      <c r="D456" s="7">
        <v>1</v>
      </c>
      <c r="E456" s="10">
        <v>13.61</v>
      </c>
      <c r="F456" s="10">
        <v>26.5</v>
      </c>
    </row>
    <row r="457" spans="1:6" x14ac:dyDescent="0.25">
      <c r="A457" s="7">
        <v>455</v>
      </c>
      <c r="B457" s="9" t="s">
        <v>913</v>
      </c>
      <c r="C457" s="9" t="s">
        <v>914</v>
      </c>
      <c r="D457" s="7">
        <v>1</v>
      </c>
      <c r="E457" s="10">
        <v>7.25</v>
      </c>
      <c r="F457" s="10">
        <v>99</v>
      </c>
    </row>
    <row r="458" spans="1:6" x14ac:dyDescent="0.25">
      <c r="A458" s="7">
        <v>456</v>
      </c>
      <c r="B458" s="9" t="s">
        <v>915</v>
      </c>
      <c r="C458" s="9" t="s">
        <v>916</v>
      </c>
      <c r="D458" s="7">
        <v>1</v>
      </c>
      <c r="E458" s="10">
        <v>28.89</v>
      </c>
      <c r="F458" s="10">
        <v>76.900000000000006</v>
      </c>
    </row>
    <row r="459" spans="1:6" x14ac:dyDescent="0.25">
      <c r="A459" s="7">
        <v>457</v>
      </c>
      <c r="B459" s="9" t="s">
        <v>917</v>
      </c>
      <c r="C459" s="9" t="s">
        <v>918</v>
      </c>
      <c r="D459" s="7">
        <v>1</v>
      </c>
      <c r="E459" s="10">
        <v>182</v>
      </c>
      <c r="F459" s="10">
        <v>323.10000000000002</v>
      </c>
    </row>
    <row r="460" spans="1:6" x14ac:dyDescent="0.25">
      <c r="A460" s="7">
        <v>458</v>
      </c>
      <c r="B460" s="9" t="s">
        <v>919</v>
      </c>
      <c r="C460" s="9" t="s">
        <v>920</v>
      </c>
      <c r="D460" s="7">
        <v>1</v>
      </c>
      <c r="E460" s="10">
        <v>77</v>
      </c>
      <c r="F460" s="10">
        <v>144</v>
      </c>
    </row>
    <row r="461" spans="1:6" x14ac:dyDescent="0.25">
      <c r="A461" s="7">
        <v>459</v>
      </c>
      <c r="B461" s="9" t="s">
        <v>921</v>
      </c>
      <c r="C461" s="9" t="s">
        <v>922</v>
      </c>
      <c r="D461" s="7">
        <v>1</v>
      </c>
      <c r="E461" s="10">
        <v>122</v>
      </c>
      <c r="F461" s="10">
        <v>221</v>
      </c>
    </row>
    <row r="462" spans="1:6" x14ac:dyDescent="0.25">
      <c r="A462" s="7">
        <v>460</v>
      </c>
      <c r="B462" s="9" t="s">
        <v>923</v>
      </c>
      <c r="C462" s="9" t="s">
        <v>924</v>
      </c>
      <c r="D462" s="7">
        <v>1</v>
      </c>
      <c r="E462" s="10">
        <v>12.81</v>
      </c>
      <c r="F462" s="10">
        <v>26.5</v>
      </c>
    </row>
    <row r="463" spans="1:6" x14ac:dyDescent="0.25">
      <c r="A463" s="7">
        <v>461</v>
      </c>
      <c r="B463" s="9" t="s">
        <v>925</v>
      </c>
      <c r="C463" s="9" t="s">
        <v>926</v>
      </c>
      <c r="D463" s="7">
        <v>1</v>
      </c>
      <c r="E463" s="10">
        <v>50.84</v>
      </c>
      <c r="F463" s="10">
        <v>139</v>
      </c>
    </row>
    <row r="464" spans="1:6" x14ac:dyDescent="0.25">
      <c r="A464" s="7">
        <v>462</v>
      </c>
      <c r="B464" s="9" t="s">
        <v>927</v>
      </c>
      <c r="C464" s="9" t="s">
        <v>928</v>
      </c>
      <c r="D464" s="7">
        <v>1</v>
      </c>
      <c r="E464" s="10">
        <v>13.89</v>
      </c>
      <c r="F464" s="10">
        <v>26.5</v>
      </c>
    </row>
    <row r="465" spans="1:6" x14ac:dyDescent="0.25">
      <c r="A465" s="7">
        <v>463</v>
      </c>
      <c r="B465" s="9" t="s">
        <v>929</v>
      </c>
      <c r="C465" s="9" t="s">
        <v>930</v>
      </c>
      <c r="D465" s="7">
        <v>1</v>
      </c>
      <c r="E465" s="10">
        <v>30.34</v>
      </c>
      <c r="F465" s="10">
        <v>76.900000000000006</v>
      </c>
    </row>
    <row r="466" spans="1:6" x14ac:dyDescent="0.25">
      <c r="A466" s="7">
        <v>464</v>
      </c>
      <c r="B466" s="9" t="s">
        <v>931</v>
      </c>
      <c r="C466" s="9" t="s">
        <v>932</v>
      </c>
      <c r="D466" s="7">
        <v>1</v>
      </c>
      <c r="E466" s="10">
        <v>70</v>
      </c>
      <c r="F466" s="10">
        <v>129</v>
      </c>
    </row>
    <row r="467" spans="1:6" x14ac:dyDescent="0.25">
      <c r="A467" s="7">
        <v>465</v>
      </c>
      <c r="B467" s="9" t="s">
        <v>933</v>
      </c>
      <c r="C467" s="9" t="s">
        <v>934</v>
      </c>
      <c r="D467" s="7">
        <v>1</v>
      </c>
      <c r="E467" s="10">
        <v>110.25</v>
      </c>
      <c r="F467" s="10">
        <v>171</v>
      </c>
    </row>
    <row r="468" spans="1:6" x14ac:dyDescent="0.25">
      <c r="A468" s="7">
        <v>466</v>
      </c>
      <c r="B468" s="9" t="s">
        <v>935</v>
      </c>
      <c r="C468" s="9" t="s">
        <v>936</v>
      </c>
      <c r="D468" s="7">
        <v>1</v>
      </c>
      <c r="E468" s="10">
        <v>113.51</v>
      </c>
      <c r="F468" s="10">
        <v>189</v>
      </c>
    </row>
    <row r="469" spans="1:6" x14ac:dyDescent="0.25">
      <c r="A469" s="7">
        <v>467</v>
      </c>
      <c r="B469" s="9" t="s">
        <v>937</v>
      </c>
      <c r="C469" s="9" t="s">
        <v>938</v>
      </c>
      <c r="D469" s="7">
        <v>1</v>
      </c>
      <c r="E469" s="10">
        <v>30.15</v>
      </c>
      <c r="F469" s="10">
        <v>86.28</v>
      </c>
    </row>
    <row r="470" spans="1:6" x14ac:dyDescent="0.25">
      <c r="A470" s="7">
        <v>468</v>
      </c>
      <c r="B470" s="9" t="s">
        <v>939</v>
      </c>
      <c r="C470" s="9" t="s">
        <v>940</v>
      </c>
      <c r="D470" s="7">
        <v>1</v>
      </c>
      <c r="E470" s="10">
        <v>132</v>
      </c>
      <c r="F470" s="10">
        <v>259</v>
      </c>
    </row>
    <row r="471" spans="1:6" x14ac:dyDescent="0.25">
      <c r="A471" s="7">
        <v>469</v>
      </c>
      <c r="B471" s="9" t="s">
        <v>941</v>
      </c>
      <c r="C471" s="9" t="s">
        <v>942</v>
      </c>
      <c r="D471" s="7">
        <v>1</v>
      </c>
      <c r="E471" s="10">
        <v>147.66999999999999</v>
      </c>
      <c r="F471" s="10">
        <v>295</v>
      </c>
    </row>
    <row r="472" spans="1:6" x14ac:dyDescent="0.25">
      <c r="A472" s="7">
        <v>470</v>
      </c>
      <c r="B472" s="9" t="s">
        <v>943</v>
      </c>
      <c r="C472" s="9" t="s">
        <v>944</v>
      </c>
      <c r="D472" s="7">
        <v>1</v>
      </c>
      <c r="E472" s="10">
        <v>37.049999999999997</v>
      </c>
      <c r="F472" s="10">
        <v>76.900000000000006</v>
      </c>
    </row>
    <row r="473" spans="1:6" x14ac:dyDescent="0.25">
      <c r="A473" s="7">
        <v>471</v>
      </c>
      <c r="B473" s="9" t="s">
        <v>945</v>
      </c>
      <c r="C473" s="9" t="s">
        <v>946</v>
      </c>
      <c r="D473" s="7">
        <v>1</v>
      </c>
      <c r="E473" s="10">
        <v>137.47999999999999</v>
      </c>
      <c r="F473" s="10">
        <v>286</v>
      </c>
    </row>
    <row r="474" spans="1:6" x14ac:dyDescent="0.25">
      <c r="A474" s="7">
        <v>472</v>
      </c>
      <c r="B474" s="9" t="s">
        <v>947</v>
      </c>
      <c r="C474" s="9" t="s">
        <v>948</v>
      </c>
      <c r="D474" s="7">
        <v>1</v>
      </c>
      <c r="E474" s="10">
        <v>132</v>
      </c>
      <c r="F474" s="10">
        <v>282</v>
      </c>
    </row>
    <row r="475" spans="1:6" x14ac:dyDescent="0.25">
      <c r="A475" s="7">
        <v>473</v>
      </c>
      <c r="B475" s="9" t="s">
        <v>949</v>
      </c>
      <c r="C475" s="9" t="s">
        <v>950</v>
      </c>
      <c r="D475" s="7">
        <v>1</v>
      </c>
      <c r="E475" s="10">
        <v>74.58</v>
      </c>
      <c r="F475" s="10">
        <v>132</v>
      </c>
    </row>
    <row r="476" spans="1:6" x14ac:dyDescent="0.25">
      <c r="A476" s="7">
        <v>474</v>
      </c>
      <c r="B476" s="9" t="s">
        <v>951</v>
      </c>
      <c r="C476" s="9" t="s">
        <v>952</v>
      </c>
      <c r="D476" s="7">
        <v>1</v>
      </c>
      <c r="E476" s="10">
        <v>66</v>
      </c>
      <c r="F476" s="10">
        <v>116.1</v>
      </c>
    </row>
    <row r="477" spans="1:6" x14ac:dyDescent="0.25">
      <c r="A477" s="7">
        <v>475</v>
      </c>
      <c r="B477" s="9" t="s">
        <v>953</v>
      </c>
      <c r="C477" s="9" t="s">
        <v>954</v>
      </c>
      <c r="D477" s="7">
        <v>1</v>
      </c>
      <c r="E477" s="10">
        <v>0</v>
      </c>
      <c r="F477" s="10">
        <v>168</v>
      </c>
    </row>
    <row r="478" spans="1:6" x14ac:dyDescent="0.25">
      <c r="A478" s="7">
        <v>476</v>
      </c>
      <c r="B478" s="9" t="s">
        <v>955</v>
      </c>
      <c r="C478" s="9" t="s">
        <v>956</v>
      </c>
      <c r="D478" s="7">
        <v>1</v>
      </c>
      <c r="E478" s="10">
        <v>38.53</v>
      </c>
      <c r="F478" s="10">
        <v>75</v>
      </c>
    </row>
    <row r="479" spans="1:6" x14ac:dyDescent="0.25">
      <c r="A479" s="7">
        <v>477</v>
      </c>
      <c r="B479" s="9" t="s">
        <v>957</v>
      </c>
      <c r="C479" s="9" t="s">
        <v>958</v>
      </c>
      <c r="D479" s="7">
        <v>1</v>
      </c>
      <c r="E479" s="10">
        <v>94.92</v>
      </c>
      <c r="F479" s="10">
        <v>168</v>
      </c>
    </row>
    <row r="480" spans="1:6" x14ac:dyDescent="0.25">
      <c r="A480" s="7">
        <v>478</v>
      </c>
      <c r="B480" s="9" t="s">
        <v>959</v>
      </c>
      <c r="C480" s="9" t="s">
        <v>960</v>
      </c>
      <c r="D480" s="7">
        <v>1</v>
      </c>
      <c r="E480" s="10">
        <v>88</v>
      </c>
      <c r="F480" s="10">
        <v>161</v>
      </c>
    </row>
    <row r="481" spans="1:6" x14ac:dyDescent="0.25">
      <c r="A481" s="7">
        <v>479</v>
      </c>
      <c r="B481" s="9" t="s">
        <v>961</v>
      </c>
      <c r="C481" s="9" t="s">
        <v>962</v>
      </c>
      <c r="D481" s="7">
        <v>1</v>
      </c>
      <c r="E481" s="10">
        <v>13.88</v>
      </c>
      <c r="F481" s="10">
        <v>26.5</v>
      </c>
    </row>
    <row r="482" spans="1:6" x14ac:dyDescent="0.25">
      <c r="A482" s="7">
        <v>480</v>
      </c>
      <c r="B482" s="9" t="s">
        <v>963</v>
      </c>
      <c r="C482" s="9" t="s">
        <v>964</v>
      </c>
      <c r="D482" s="7">
        <v>1</v>
      </c>
      <c r="E482" s="10">
        <v>113.51</v>
      </c>
      <c r="F482" s="10">
        <v>189</v>
      </c>
    </row>
    <row r="483" spans="1:6" x14ac:dyDescent="0.25">
      <c r="A483" s="7">
        <v>481</v>
      </c>
      <c r="B483" s="9" t="s">
        <v>965</v>
      </c>
      <c r="C483" s="9" t="s">
        <v>966</v>
      </c>
      <c r="D483" s="7">
        <v>1</v>
      </c>
      <c r="E483" s="10">
        <v>176.54</v>
      </c>
      <c r="F483" s="10">
        <v>359</v>
      </c>
    </row>
    <row r="484" spans="1:6" x14ac:dyDescent="0.25">
      <c r="A484" s="7">
        <v>482</v>
      </c>
      <c r="B484" s="9" t="s">
        <v>967</v>
      </c>
      <c r="C484" s="9" t="s">
        <v>968</v>
      </c>
      <c r="D484" s="7">
        <v>1</v>
      </c>
      <c r="E484" s="10">
        <v>115</v>
      </c>
      <c r="F484" s="10">
        <v>215</v>
      </c>
    </row>
    <row r="485" spans="1:6" x14ac:dyDescent="0.25">
      <c r="A485" s="7">
        <v>483</v>
      </c>
      <c r="B485" s="9" t="s">
        <v>969</v>
      </c>
      <c r="C485" s="9" t="s">
        <v>970</v>
      </c>
      <c r="D485" s="7">
        <v>1</v>
      </c>
      <c r="E485" s="10">
        <v>73</v>
      </c>
      <c r="F485" s="10">
        <v>138.6</v>
      </c>
    </row>
    <row r="486" spans="1:6" x14ac:dyDescent="0.25">
      <c r="A486" s="7">
        <v>484</v>
      </c>
      <c r="B486" s="9" t="s">
        <v>971</v>
      </c>
      <c r="C486" s="9" t="s">
        <v>972</v>
      </c>
      <c r="D486" s="7">
        <v>1</v>
      </c>
      <c r="E486" s="10">
        <v>123</v>
      </c>
      <c r="F486" s="10">
        <v>222</v>
      </c>
    </row>
    <row r="487" spans="1:6" x14ac:dyDescent="0.25">
      <c r="A487" s="7">
        <v>485</v>
      </c>
      <c r="B487" s="9" t="s">
        <v>973</v>
      </c>
      <c r="C487" s="9" t="s">
        <v>974</v>
      </c>
      <c r="D487" s="7">
        <v>1</v>
      </c>
      <c r="E487" s="10">
        <v>64.819999999999993</v>
      </c>
      <c r="F487" s="10">
        <v>136</v>
      </c>
    </row>
    <row r="488" spans="1:6" x14ac:dyDescent="0.25">
      <c r="A488" s="7">
        <v>486</v>
      </c>
      <c r="B488" s="9" t="s">
        <v>975</v>
      </c>
      <c r="C488" s="9" t="s">
        <v>976</v>
      </c>
      <c r="D488" s="7">
        <v>1</v>
      </c>
      <c r="E488" s="10">
        <v>92.15</v>
      </c>
      <c r="F488" s="10">
        <v>179</v>
      </c>
    </row>
    <row r="489" spans="1:6" x14ac:dyDescent="0.25">
      <c r="A489" s="7">
        <v>487</v>
      </c>
      <c r="B489" s="9" t="s">
        <v>977</v>
      </c>
      <c r="C489" s="9" t="s">
        <v>978</v>
      </c>
      <c r="D489" s="7">
        <v>1</v>
      </c>
      <c r="E489" s="10">
        <v>39.270000000000003</v>
      </c>
      <c r="F489" s="10">
        <v>48.660004999999998</v>
      </c>
    </row>
    <row r="490" spans="1:6" x14ac:dyDescent="0.25">
      <c r="A490" s="7">
        <v>488</v>
      </c>
      <c r="B490" s="9" t="s">
        <v>979</v>
      </c>
      <c r="C490" s="9" t="s">
        <v>980</v>
      </c>
      <c r="D490" s="7">
        <v>1</v>
      </c>
      <c r="E490" s="10">
        <v>211.75</v>
      </c>
      <c r="F490" s="10">
        <v>359</v>
      </c>
    </row>
    <row r="491" spans="1:6" x14ac:dyDescent="0.25">
      <c r="A491" s="7">
        <v>489</v>
      </c>
      <c r="B491" s="9" t="s">
        <v>981</v>
      </c>
      <c r="C491" s="9" t="s">
        <v>982</v>
      </c>
      <c r="D491" s="7">
        <v>1</v>
      </c>
      <c r="E491" s="10">
        <v>67.39</v>
      </c>
      <c r="F491" s="10">
        <v>145</v>
      </c>
    </row>
    <row r="492" spans="1:6" x14ac:dyDescent="0.25">
      <c r="A492" s="7">
        <v>490</v>
      </c>
      <c r="B492" s="9" t="s">
        <v>983</v>
      </c>
      <c r="C492" s="9" t="s">
        <v>984</v>
      </c>
      <c r="D492" s="7">
        <v>1</v>
      </c>
      <c r="E492" s="10">
        <v>34.25</v>
      </c>
      <c r="F492" s="10">
        <v>76.5</v>
      </c>
    </row>
    <row r="493" spans="1:6" x14ac:dyDescent="0.25">
      <c r="A493" s="7">
        <v>491</v>
      </c>
      <c r="B493" s="9" t="s">
        <v>985</v>
      </c>
      <c r="C493" s="9" t="s">
        <v>986</v>
      </c>
      <c r="D493" s="7">
        <v>1</v>
      </c>
      <c r="E493" s="10">
        <v>63</v>
      </c>
      <c r="F493" s="10">
        <v>114</v>
      </c>
    </row>
    <row r="494" spans="1:6" x14ac:dyDescent="0.25">
      <c r="A494" s="7">
        <v>492</v>
      </c>
      <c r="B494" s="9" t="s">
        <v>987</v>
      </c>
      <c r="C494" s="9" t="s">
        <v>988</v>
      </c>
      <c r="D494" s="7">
        <v>1</v>
      </c>
      <c r="E494" s="10">
        <v>39.39</v>
      </c>
      <c r="F494" s="10">
        <v>85</v>
      </c>
    </row>
    <row r="495" spans="1:6" x14ac:dyDescent="0.25">
      <c r="A495" s="7">
        <v>493</v>
      </c>
      <c r="B495" s="9" t="s">
        <v>989</v>
      </c>
      <c r="C495" s="9" t="s">
        <v>990</v>
      </c>
      <c r="D495" s="7">
        <v>1</v>
      </c>
      <c r="E495" s="10">
        <v>35.29</v>
      </c>
      <c r="F495" s="10">
        <v>86.9</v>
      </c>
    </row>
    <row r="496" spans="1:6" x14ac:dyDescent="0.25">
      <c r="A496" s="7">
        <v>494</v>
      </c>
      <c r="B496" s="9" t="s">
        <v>991</v>
      </c>
      <c r="C496" s="9" t="s">
        <v>992</v>
      </c>
      <c r="D496" s="7">
        <v>1</v>
      </c>
      <c r="E496" s="10">
        <v>95</v>
      </c>
      <c r="F496" s="10">
        <v>178</v>
      </c>
    </row>
    <row r="497" spans="1:6" x14ac:dyDescent="0.25">
      <c r="A497" s="7">
        <v>495</v>
      </c>
      <c r="B497" s="9" t="s">
        <v>993</v>
      </c>
      <c r="C497" s="9" t="s">
        <v>994</v>
      </c>
      <c r="D497" s="7">
        <v>1</v>
      </c>
      <c r="E497" s="10">
        <v>68</v>
      </c>
      <c r="F497" s="10">
        <v>129</v>
      </c>
    </row>
    <row r="498" spans="1:6" x14ac:dyDescent="0.25">
      <c r="A498" s="7">
        <v>496</v>
      </c>
      <c r="B498" s="9" t="s">
        <v>995</v>
      </c>
      <c r="C498" s="9" t="s">
        <v>996</v>
      </c>
      <c r="D498" s="7">
        <v>1</v>
      </c>
      <c r="E498" s="10">
        <v>71.94</v>
      </c>
      <c r="F498" s="10">
        <v>166.9</v>
      </c>
    </row>
    <row r="499" spans="1:6" x14ac:dyDescent="0.25">
      <c r="A499" s="7">
        <v>497</v>
      </c>
      <c r="B499" s="9" t="s">
        <v>997</v>
      </c>
      <c r="C499" s="9" t="s">
        <v>998</v>
      </c>
      <c r="D499" s="7">
        <v>1</v>
      </c>
      <c r="E499" s="10">
        <v>38.869999999999997</v>
      </c>
      <c r="F499" s="10">
        <v>77.169996999999995</v>
      </c>
    </row>
    <row r="500" spans="1:6" x14ac:dyDescent="0.25">
      <c r="A500" s="7">
        <v>498</v>
      </c>
      <c r="B500" s="9" t="s">
        <v>999</v>
      </c>
      <c r="C500" s="9" t="s">
        <v>1000</v>
      </c>
      <c r="D500" s="7">
        <v>1</v>
      </c>
      <c r="E500" s="10">
        <v>13.89</v>
      </c>
      <c r="F500" s="10">
        <v>26.5</v>
      </c>
    </row>
    <row r="501" spans="1:6" x14ac:dyDescent="0.25">
      <c r="A501" s="7">
        <v>499</v>
      </c>
      <c r="B501" s="9" t="s">
        <v>1001</v>
      </c>
      <c r="C501" s="9" t="s">
        <v>1002</v>
      </c>
      <c r="D501" s="7">
        <v>1</v>
      </c>
      <c r="E501" s="10">
        <v>81</v>
      </c>
      <c r="F501" s="10">
        <v>154</v>
      </c>
    </row>
    <row r="502" spans="1:6" x14ac:dyDescent="0.25">
      <c r="A502" s="7">
        <v>500</v>
      </c>
      <c r="B502" s="9" t="s">
        <v>1003</v>
      </c>
      <c r="C502" s="9" t="s">
        <v>1004</v>
      </c>
      <c r="D502" s="7">
        <v>1</v>
      </c>
      <c r="E502" s="10">
        <v>12.82</v>
      </c>
      <c r="F502" s="10">
        <v>23.2</v>
      </c>
    </row>
    <row r="503" spans="1:6" x14ac:dyDescent="0.25">
      <c r="A503" s="7">
        <v>501</v>
      </c>
      <c r="B503" s="9" t="s">
        <v>1005</v>
      </c>
      <c r="C503" s="9" t="s">
        <v>1006</v>
      </c>
      <c r="D503" s="7">
        <v>1</v>
      </c>
      <c r="E503" s="10">
        <v>71.42</v>
      </c>
      <c r="F503" s="10">
        <v>122</v>
      </c>
    </row>
    <row r="504" spans="1:6" x14ac:dyDescent="0.25">
      <c r="A504" s="7">
        <v>502</v>
      </c>
      <c r="B504" s="9" t="s">
        <v>1007</v>
      </c>
      <c r="C504" s="9" t="s">
        <v>1008</v>
      </c>
      <c r="D504" s="7">
        <v>1</v>
      </c>
      <c r="E504" s="10">
        <v>13.89</v>
      </c>
      <c r="F504" s="10">
        <v>26.5</v>
      </c>
    </row>
    <row r="505" spans="1:6" x14ac:dyDescent="0.25">
      <c r="A505" s="7">
        <v>503</v>
      </c>
      <c r="B505" s="9" t="s">
        <v>1009</v>
      </c>
      <c r="C505" s="9" t="s">
        <v>1010</v>
      </c>
      <c r="D505" s="7">
        <v>1</v>
      </c>
      <c r="E505" s="10">
        <v>165</v>
      </c>
      <c r="F505" s="10">
        <v>282</v>
      </c>
    </row>
    <row r="506" spans="1:6" x14ac:dyDescent="0.25">
      <c r="A506" s="7">
        <v>504</v>
      </c>
      <c r="B506" s="9" t="s">
        <v>1011</v>
      </c>
      <c r="C506" s="9" t="s">
        <v>1012</v>
      </c>
      <c r="D506" s="7">
        <v>1</v>
      </c>
      <c r="E506" s="10">
        <v>72.37</v>
      </c>
      <c r="F506" s="10">
        <v>143</v>
      </c>
    </row>
    <row r="507" spans="1:6" x14ac:dyDescent="0.25">
      <c r="A507" s="7">
        <v>505</v>
      </c>
      <c r="B507" s="9" t="s">
        <v>1013</v>
      </c>
      <c r="C507" s="9" t="s">
        <v>1014</v>
      </c>
      <c r="D507" s="7">
        <v>1</v>
      </c>
      <c r="E507" s="10">
        <v>70</v>
      </c>
      <c r="F507" s="10">
        <v>129</v>
      </c>
    </row>
    <row r="508" spans="1:6" x14ac:dyDescent="0.25">
      <c r="A508" s="7">
        <v>506</v>
      </c>
      <c r="B508" s="9" t="s">
        <v>1015</v>
      </c>
      <c r="C508" s="9" t="s">
        <v>1016</v>
      </c>
      <c r="D508" s="7">
        <v>1</v>
      </c>
      <c r="E508" s="10">
        <v>85.36</v>
      </c>
      <c r="F508" s="10">
        <v>161</v>
      </c>
    </row>
    <row r="509" spans="1:6" x14ac:dyDescent="0.25">
      <c r="A509" s="7">
        <v>507</v>
      </c>
      <c r="B509" s="9" t="s">
        <v>1017</v>
      </c>
      <c r="C509" s="9" t="s">
        <v>1018</v>
      </c>
      <c r="D509" s="7">
        <v>1</v>
      </c>
      <c r="E509" s="10">
        <v>149.56</v>
      </c>
      <c r="F509" s="10">
        <v>365</v>
      </c>
    </row>
    <row r="510" spans="1:6" x14ac:dyDescent="0.25">
      <c r="A510" s="7">
        <v>508</v>
      </c>
      <c r="B510" s="9" t="s">
        <v>1019</v>
      </c>
      <c r="C510" s="9" t="s">
        <v>1020</v>
      </c>
      <c r="D510" s="7">
        <v>1</v>
      </c>
      <c r="E510" s="10">
        <v>50.56</v>
      </c>
      <c r="F510" s="10">
        <v>152.9</v>
      </c>
    </row>
    <row r="511" spans="1:6" x14ac:dyDescent="0.25">
      <c r="A511" s="7">
        <v>509</v>
      </c>
      <c r="B511" s="9" t="s">
        <v>1021</v>
      </c>
      <c r="C511" s="9" t="s">
        <v>1022</v>
      </c>
      <c r="D511" s="7">
        <v>1</v>
      </c>
      <c r="E511" s="10">
        <v>152.87</v>
      </c>
      <c r="F511" s="10">
        <v>198</v>
      </c>
    </row>
    <row r="512" spans="1:6" x14ac:dyDescent="0.25">
      <c r="A512" s="7">
        <v>510</v>
      </c>
      <c r="B512" s="9" t="s">
        <v>1023</v>
      </c>
      <c r="C512" s="9" t="s">
        <v>1024</v>
      </c>
      <c r="D512" s="7">
        <v>1</v>
      </c>
      <c r="E512" s="10">
        <v>101.86</v>
      </c>
      <c r="F512" s="10">
        <v>205</v>
      </c>
    </row>
    <row r="513" spans="1:6" x14ac:dyDescent="0.25">
      <c r="A513" s="7">
        <v>511</v>
      </c>
      <c r="B513" s="9" t="s">
        <v>1025</v>
      </c>
      <c r="C513" s="9" t="s">
        <v>1026</v>
      </c>
      <c r="D513" s="7">
        <v>1</v>
      </c>
      <c r="E513" s="10">
        <v>52.2</v>
      </c>
      <c r="F513" s="10">
        <v>132</v>
      </c>
    </row>
    <row r="514" spans="1:6" x14ac:dyDescent="0.25">
      <c r="A514" s="7">
        <v>512</v>
      </c>
      <c r="B514" s="9" t="s">
        <v>1027</v>
      </c>
      <c r="C514" s="9" t="s">
        <v>1028</v>
      </c>
      <c r="D514" s="7">
        <v>1</v>
      </c>
      <c r="E514" s="10">
        <v>30.64</v>
      </c>
      <c r="F514" s="10">
        <v>55</v>
      </c>
    </row>
    <row r="515" spans="1:6" x14ac:dyDescent="0.25">
      <c r="A515" s="7">
        <v>513</v>
      </c>
      <c r="B515" s="9" t="s">
        <v>1029</v>
      </c>
      <c r="C515" s="9" t="s">
        <v>1030</v>
      </c>
      <c r="D515" s="7">
        <v>1</v>
      </c>
      <c r="E515" s="10">
        <v>52.2</v>
      </c>
      <c r="F515" s="10">
        <v>132</v>
      </c>
    </row>
    <row r="516" spans="1:6" x14ac:dyDescent="0.25">
      <c r="A516" s="7">
        <v>514</v>
      </c>
      <c r="B516" s="9" t="s">
        <v>1031</v>
      </c>
      <c r="C516" s="9" t="s">
        <v>1032</v>
      </c>
      <c r="D516" s="7">
        <v>1</v>
      </c>
      <c r="E516" s="10">
        <v>0</v>
      </c>
      <c r="F516" s="10">
        <v>20</v>
      </c>
    </row>
    <row r="517" spans="1:6" x14ac:dyDescent="0.25">
      <c r="A517" s="7">
        <v>515</v>
      </c>
      <c r="B517" s="9" t="s">
        <v>1033</v>
      </c>
      <c r="C517" s="9" t="s">
        <v>1034</v>
      </c>
      <c r="D517" s="7">
        <v>1</v>
      </c>
      <c r="E517" s="10">
        <v>81.349999999999994</v>
      </c>
      <c r="F517" s="10">
        <v>144</v>
      </c>
    </row>
    <row r="518" spans="1:6" x14ac:dyDescent="0.25">
      <c r="A518" s="7">
        <v>516</v>
      </c>
      <c r="B518" s="9" t="s">
        <v>1035</v>
      </c>
      <c r="C518" s="9" t="s">
        <v>1036</v>
      </c>
      <c r="D518" s="7">
        <v>1</v>
      </c>
      <c r="E518" s="10">
        <v>0</v>
      </c>
      <c r="F518" s="10">
        <v>74.900000000000006</v>
      </c>
    </row>
    <row r="519" spans="1:6" x14ac:dyDescent="0.25">
      <c r="A519" s="7">
        <v>517</v>
      </c>
      <c r="B519" s="9" t="s">
        <v>1037</v>
      </c>
      <c r="C519" s="9" t="s">
        <v>1038</v>
      </c>
      <c r="D519" s="7">
        <v>1</v>
      </c>
      <c r="E519" s="10">
        <v>69.489999999999995</v>
      </c>
      <c r="F519" s="10">
        <v>123</v>
      </c>
    </row>
    <row r="520" spans="1:6" x14ac:dyDescent="0.25">
      <c r="A520" s="7">
        <v>518</v>
      </c>
      <c r="B520" s="9" t="s">
        <v>1039</v>
      </c>
      <c r="C520" s="9" t="s">
        <v>1040</v>
      </c>
      <c r="D520" s="7">
        <v>1</v>
      </c>
      <c r="E520" s="10">
        <v>123</v>
      </c>
      <c r="F520" s="10">
        <v>222</v>
      </c>
    </row>
    <row r="521" spans="1:6" x14ac:dyDescent="0.25">
      <c r="A521" s="7">
        <v>519</v>
      </c>
      <c r="B521" s="9" t="s">
        <v>1041</v>
      </c>
      <c r="C521" s="9" t="s">
        <v>1042</v>
      </c>
      <c r="D521" s="7">
        <v>1</v>
      </c>
      <c r="E521" s="10">
        <v>65.7</v>
      </c>
      <c r="F521" s="10">
        <v>145.9</v>
      </c>
    </row>
    <row r="522" spans="1:6" x14ac:dyDescent="0.25">
      <c r="A522" s="7">
        <v>520</v>
      </c>
      <c r="B522" s="9" t="s">
        <v>1043</v>
      </c>
      <c r="C522" s="9" t="s">
        <v>1044</v>
      </c>
      <c r="D522" s="7">
        <v>1</v>
      </c>
      <c r="E522" s="10">
        <v>36.35</v>
      </c>
      <c r="F522" s="10">
        <v>92</v>
      </c>
    </row>
    <row r="523" spans="1:6" x14ac:dyDescent="0.25">
      <c r="A523" s="7">
        <v>521</v>
      </c>
      <c r="B523" s="9" t="s">
        <v>1045</v>
      </c>
      <c r="C523" s="9" t="s">
        <v>1046</v>
      </c>
      <c r="D523" s="7">
        <v>1</v>
      </c>
      <c r="E523" s="10">
        <v>0</v>
      </c>
      <c r="F523" s="10">
        <v>125</v>
      </c>
    </row>
    <row r="524" spans="1:6" x14ac:dyDescent="0.25">
      <c r="A524" s="7">
        <v>522</v>
      </c>
      <c r="B524" s="9" t="s">
        <v>1047</v>
      </c>
      <c r="C524" s="9" t="s">
        <v>1048</v>
      </c>
      <c r="D524" s="7">
        <v>1</v>
      </c>
      <c r="E524" s="10">
        <v>0</v>
      </c>
      <c r="F524" s="10">
        <v>0</v>
      </c>
    </row>
    <row r="525" spans="1:6" x14ac:dyDescent="0.25">
      <c r="A525" s="7">
        <v>523</v>
      </c>
      <c r="B525" s="9" t="s">
        <v>1049</v>
      </c>
      <c r="C525" s="9" t="s">
        <v>1050</v>
      </c>
      <c r="D525" s="7">
        <v>1</v>
      </c>
      <c r="E525" s="10">
        <v>67.8</v>
      </c>
      <c r="F525" s="10">
        <v>127.56076400000001</v>
      </c>
    </row>
    <row r="526" spans="1:6" x14ac:dyDescent="0.25">
      <c r="A526" s="7">
        <v>524</v>
      </c>
      <c r="B526" s="9" t="s">
        <v>1051</v>
      </c>
      <c r="C526" s="9" t="s">
        <v>1052</v>
      </c>
      <c r="D526" s="7">
        <v>1</v>
      </c>
      <c r="E526" s="10">
        <v>0</v>
      </c>
      <c r="F526" s="10">
        <v>0</v>
      </c>
    </row>
    <row r="527" spans="1:6" x14ac:dyDescent="0.25">
      <c r="A527" s="7">
        <v>525</v>
      </c>
      <c r="B527" s="9" t="s">
        <v>1053</v>
      </c>
      <c r="C527" s="9" t="s">
        <v>1054</v>
      </c>
      <c r="D527" s="7">
        <v>1</v>
      </c>
      <c r="E527" s="10">
        <v>74.58</v>
      </c>
      <c r="F527" s="10">
        <v>132</v>
      </c>
    </row>
    <row r="528" spans="1:6" x14ac:dyDescent="0.25">
      <c r="A528" s="7">
        <v>526</v>
      </c>
      <c r="B528" s="9" t="s">
        <v>1055</v>
      </c>
      <c r="C528" s="9" t="s">
        <v>1056</v>
      </c>
      <c r="D528" s="7">
        <v>1</v>
      </c>
      <c r="E528" s="10">
        <v>147</v>
      </c>
      <c r="F528" s="10">
        <v>247</v>
      </c>
    </row>
    <row r="529" spans="1:6" x14ac:dyDescent="0.25">
      <c r="A529" s="7">
        <v>527</v>
      </c>
      <c r="B529" s="9" t="s">
        <v>1057</v>
      </c>
      <c r="C529" s="9" t="s">
        <v>1058</v>
      </c>
      <c r="D529" s="7">
        <v>1</v>
      </c>
      <c r="E529" s="10">
        <v>72.03</v>
      </c>
      <c r="F529" s="10">
        <v>128</v>
      </c>
    </row>
    <row r="530" spans="1:6" x14ac:dyDescent="0.25">
      <c r="A530" s="7">
        <v>528</v>
      </c>
      <c r="B530" s="9" t="s">
        <v>1059</v>
      </c>
      <c r="C530" s="9" t="s">
        <v>1060</v>
      </c>
      <c r="D530" s="7">
        <v>1</v>
      </c>
      <c r="E530" s="10">
        <v>64.819999999999993</v>
      </c>
      <c r="F530" s="10">
        <v>138</v>
      </c>
    </row>
    <row r="531" spans="1:6" x14ac:dyDescent="0.25">
      <c r="A531" s="7">
        <v>529</v>
      </c>
      <c r="B531" s="9" t="s">
        <v>1061</v>
      </c>
      <c r="C531" s="9" t="s">
        <v>1062</v>
      </c>
      <c r="D531" s="7">
        <v>1</v>
      </c>
      <c r="E531" s="10">
        <v>64.819999999999993</v>
      </c>
      <c r="F531" s="10">
        <v>136</v>
      </c>
    </row>
    <row r="532" spans="1:6" x14ac:dyDescent="0.25">
      <c r="A532" s="7">
        <v>530</v>
      </c>
      <c r="B532" s="9" t="s">
        <v>1063</v>
      </c>
      <c r="C532" s="9" t="s">
        <v>1064</v>
      </c>
      <c r="D532" s="7">
        <v>1</v>
      </c>
      <c r="E532" s="10">
        <v>72.260000000000005</v>
      </c>
      <c r="F532" s="10">
        <v>189.9</v>
      </c>
    </row>
    <row r="533" spans="1:6" x14ac:dyDescent="0.25">
      <c r="A533" s="7">
        <v>531</v>
      </c>
      <c r="B533" s="9" t="s">
        <v>1065</v>
      </c>
      <c r="C533" s="9" t="s">
        <v>1066</v>
      </c>
      <c r="D533" s="7">
        <v>1</v>
      </c>
      <c r="E533" s="10">
        <v>147.66999999999999</v>
      </c>
      <c r="F533" s="10">
        <v>295</v>
      </c>
    </row>
    <row r="534" spans="1:6" x14ac:dyDescent="0.25">
      <c r="A534" s="7">
        <v>532</v>
      </c>
      <c r="B534" s="9" t="s">
        <v>1067</v>
      </c>
      <c r="C534" s="9" t="s">
        <v>1068</v>
      </c>
      <c r="D534" s="7">
        <v>1</v>
      </c>
      <c r="E534" s="10">
        <v>33.049999999999997</v>
      </c>
      <c r="F534" s="10">
        <v>40.949995999999999</v>
      </c>
    </row>
    <row r="535" spans="1:6" x14ac:dyDescent="0.25">
      <c r="A535" s="7">
        <v>533</v>
      </c>
      <c r="B535" s="9" t="s">
        <v>1069</v>
      </c>
      <c r="C535" s="9" t="s">
        <v>1070</v>
      </c>
      <c r="D535" s="7">
        <v>1</v>
      </c>
      <c r="E535" s="10">
        <v>62.71</v>
      </c>
      <c r="F535" s="10">
        <v>110</v>
      </c>
    </row>
    <row r="536" spans="1:6" x14ac:dyDescent="0.25">
      <c r="A536" s="7">
        <v>534</v>
      </c>
      <c r="B536" s="9" t="s">
        <v>1071</v>
      </c>
      <c r="C536" s="9" t="s">
        <v>1072</v>
      </c>
      <c r="D536" s="7">
        <v>1</v>
      </c>
      <c r="E536" s="10">
        <v>164.1</v>
      </c>
      <c r="F536" s="10">
        <v>252.70671999999999</v>
      </c>
    </row>
    <row r="537" spans="1:6" x14ac:dyDescent="0.25">
      <c r="A537" s="7">
        <v>535</v>
      </c>
      <c r="B537" s="9" t="s">
        <v>1073</v>
      </c>
      <c r="C537" s="9" t="s">
        <v>1074</v>
      </c>
      <c r="D537" s="7">
        <v>1</v>
      </c>
      <c r="E537" s="10">
        <v>124.49</v>
      </c>
      <c r="F537" s="10">
        <v>193</v>
      </c>
    </row>
    <row r="538" spans="1:6" x14ac:dyDescent="0.25">
      <c r="A538" s="7">
        <v>536</v>
      </c>
      <c r="B538" s="9" t="s">
        <v>1075</v>
      </c>
      <c r="C538" s="9" t="s">
        <v>1076</v>
      </c>
      <c r="D538" s="7">
        <v>1</v>
      </c>
      <c r="E538" s="10">
        <v>13.89</v>
      </c>
      <c r="F538" s="10">
        <v>26.5</v>
      </c>
    </row>
    <row r="539" spans="1:6" x14ac:dyDescent="0.25">
      <c r="A539" s="7">
        <v>537</v>
      </c>
      <c r="B539" s="9" t="s">
        <v>1077</v>
      </c>
      <c r="C539" s="9" t="s">
        <v>1078</v>
      </c>
      <c r="D539" s="7">
        <v>1</v>
      </c>
      <c r="E539" s="10">
        <v>60.42</v>
      </c>
      <c r="F539" s="10">
        <v>125.1</v>
      </c>
    </row>
    <row r="540" spans="1:6" x14ac:dyDescent="0.25">
      <c r="A540" s="7">
        <v>538</v>
      </c>
      <c r="B540" s="9" t="s">
        <v>1079</v>
      </c>
      <c r="C540" s="9" t="s">
        <v>1080</v>
      </c>
      <c r="D540" s="7">
        <v>1</v>
      </c>
      <c r="E540" s="10">
        <v>82</v>
      </c>
      <c r="F540" s="10">
        <v>154</v>
      </c>
    </row>
    <row r="541" spans="1:6" x14ac:dyDescent="0.25">
      <c r="A541" s="7">
        <v>539</v>
      </c>
      <c r="B541" s="9" t="s">
        <v>1081</v>
      </c>
      <c r="C541" s="9" t="s">
        <v>1082</v>
      </c>
      <c r="D541" s="7">
        <v>1</v>
      </c>
      <c r="E541" s="10">
        <v>39.28</v>
      </c>
      <c r="F541" s="10">
        <v>48.660004999999998</v>
      </c>
    </row>
  </sheetData>
  <mergeCells count="1">
    <mergeCell ref="B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5FE4-57D7-47E5-9D97-4CC1118EEA8B}">
  <dimension ref="A1:K99"/>
  <sheetViews>
    <sheetView workbookViewId="0">
      <selection activeCell="F10" sqref="F10"/>
    </sheetView>
  </sheetViews>
  <sheetFormatPr baseColWidth="10" defaultRowHeight="15" x14ac:dyDescent="0.25"/>
  <cols>
    <col min="1" max="1" width="13.42578125" customWidth="1"/>
    <col min="2" max="2" width="28.42578125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41.85546875" bestFit="1" customWidth="1"/>
    <col min="8" max="8" width="30.28515625" bestFit="1" customWidth="1"/>
    <col min="9" max="9" width="13.425781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"6943074121354"</f>
        <v>6943074121354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"P0000000000082"</f>
        <v>P0000000000082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68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32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67</v>
      </c>
      <c r="F10" s="5">
        <v>31.07</v>
      </c>
      <c r="G10" s="5" t="s">
        <v>1103</v>
      </c>
      <c r="H10" s="5" t="s">
        <v>1104</v>
      </c>
    </row>
    <row r="11" spans="1:11" ht="27" x14ac:dyDescent="0.25">
      <c r="A11" s="5" t="str">
        <f>"21/06/2025"</f>
        <v>21/06/2025</v>
      </c>
      <c r="B11" s="5" t="s">
        <v>1105</v>
      </c>
      <c r="C11" s="5">
        <v>0</v>
      </c>
      <c r="D11" s="5">
        <v>1</v>
      </c>
      <c r="E11" s="5">
        <v>66</v>
      </c>
      <c r="F11" s="5">
        <v>31.07</v>
      </c>
      <c r="G11" s="5" t="s">
        <v>1106</v>
      </c>
      <c r="H11" s="5" t="s">
        <v>1107</v>
      </c>
    </row>
    <row r="12" spans="1:11" ht="27" x14ac:dyDescent="0.25">
      <c r="A12" s="5" t="str">
        <f>"21/06/2025"</f>
        <v>21/06/2025</v>
      </c>
      <c r="B12" s="5" t="s">
        <v>1108</v>
      </c>
      <c r="C12" s="5">
        <v>0</v>
      </c>
      <c r="D12" s="5">
        <v>1</v>
      </c>
      <c r="E12" s="5">
        <v>65</v>
      </c>
      <c r="F12" s="5">
        <v>31.07</v>
      </c>
      <c r="G12" s="5" t="s">
        <v>1106</v>
      </c>
      <c r="H12" s="5" t="s">
        <v>1109</v>
      </c>
    </row>
    <row r="13" spans="1:11" ht="27" x14ac:dyDescent="0.25">
      <c r="A13" s="5" t="str">
        <f>"22/06/2025"</f>
        <v>22/06/2025</v>
      </c>
      <c r="B13" s="5" t="s">
        <v>1102</v>
      </c>
      <c r="C13" s="5">
        <v>0</v>
      </c>
      <c r="D13" s="5">
        <v>1</v>
      </c>
      <c r="E13" s="5">
        <v>64</v>
      </c>
      <c r="F13" s="5">
        <v>31.07</v>
      </c>
      <c r="G13" s="5" t="s">
        <v>1106</v>
      </c>
      <c r="H13" s="5" t="s">
        <v>1110</v>
      </c>
    </row>
    <row r="14" spans="1:11" ht="27" x14ac:dyDescent="0.25">
      <c r="A14" s="5" t="str">
        <f>"24/06/2025"</f>
        <v>24/06/2025</v>
      </c>
      <c r="B14" s="5" t="s">
        <v>1102</v>
      </c>
      <c r="C14" s="5">
        <v>0</v>
      </c>
      <c r="D14" s="5">
        <v>1</v>
      </c>
      <c r="E14" s="5">
        <v>63</v>
      </c>
      <c r="F14" s="5">
        <v>31.07</v>
      </c>
      <c r="G14" s="5" t="s">
        <v>1106</v>
      </c>
      <c r="H14" s="5" t="s">
        <v>1111</v>
      </c>
    </row>
    <row r="15" spans="1:11" ht="27" x14ac:dyDescent="0.25">
      <c r="A15" s="5" t="str">
        <f>"24/06/2025"</f>
        <v>24/06/2025</v>
      </c>
      <c r="B15" s="5" t="s">
        <v>1105</v>
      </c>
      <c r="C15" s="5">
        <v>0</v>
      </c>
      <c r="D15" s="5">
        <v>1</v>
      </c>
      <c r="E15" s="5">
        <v>62</v>
      </c>
      <c r="F15" s="5">
        <v>31.07</v>
      </c>
      <c r="G15" s="5" t="s">
        <v>1106</v>
      </c>
      <c r="H15" s="5" t="s">
        <v>1112</v>
      </c>
    </row>
    <row r="16" spans="1:11" ht="27" x14ac:dyDescent="0.25">
      <c r="A16" s="5" t="str">
        <f>"24/06/2025"</f>
        <v>24/06/2025</v>
      </c>
      <c r="B16" s="5" t="s">
        <v>1102</v>
      </c>
      <c r="C16" s="5">
        <v>0</v>
      </c>
      <c r="D16" s="5">
        <v>1</v>
      </c>
      <c r="E16" s="5">
        <v>61</v>
      </c>
      <c r="F16" s="5">
        <v>31.07</v>
      </c>
      <c r="G16" s="5" t="s">
        <v>1106</v>
      </c>
      <c r="H16" s="5" t="s">
        <v>1113</v>
      </c>
    </row>
    <row r="17" spans="1:8" ht="27" x14ac:dyDescent="0.25">
      <c r="A17" s="5" t="str">
        <f>"24/06/2025"</f>
        <v>24/06/2025</v>
      </c>
      <c r="B17" s="5" t="s">
        <v>1114</v>
      </c>
      <c r="C17" s="5">
        <v>0</v>
      </c>
      <c r="D17" s="5">
        <v>1</v>
      </c>
      <c r="E17" s="5">
        <v>60</v>
      </c>
      <c r="F17" s="5">
        <v>31.07</v>
      </c>
      <c r="G17" s="5" t="s">
        <v>1106</v>
      </c>
      <c r="H17" s="5" t="s">
        <v>1115</v>
      </c>
    </row>
    <row r="18" spans="1:8" ht="27" x14ac:dyDescent="0.25">
      <c r="A18" s="5" t="str">
        <f>"26/06/2025"</f>
        <v>26/06/2025</v>
      </c>
      <c r="B18" s="5" t="s">
        <v>1105</v>
      </c>
      <c r="C18" s="5">
        <v>0</v>
      </c>
      <c r="D18" s="5">
        <v>1</v>
      </c>
      <c r="E18" s="5">
        <v>59</v>
      </c>
      <c r="F18" s="5">
        <v>31.07</v>
      </c>
      <c r="G18" s="5" t="s">
        <v>1116</v>
      </c>
      <c r="H18" s="5" t="s">
        <v>1117</v>
      </c>
    </row>
    <row r="19" spans="1:8" ht="27" x14ac:dyDescent="0.25">
      <c r="A19" s="5" t="str">
        <f>"26/06/2025"</f>
        <v>26/06/2025</v>
      </c>
      <c r="B19" s="5" t="s">
        <v>1105</v>
      </c>
      <c r="C19" s="5">
        <v>0</v>
      </c>
      <c r="D19" s="5">
        <v>1</v>
      </c>
      <c r="E19" s="5">
        <v>58</v>
      </c>
      <c r="F19" s="5">
        <v>31.07</v>
      </c>
      <c r="G19" s="5" t="s">
        <v>1116</v>
      </c>
      <c r="H19" s="5" t="s">
        <v>1118</v>
      </c>
    </row>
    <row r="20" spans="1:8" ht="27" x14ac:dyDescent="0.25">
      <c r="A20" s="5" t="str">
        <f>"26/06/2025"</f>
        <v>26/06/2025</v>
      </c>
      <c r="B20" s="5" t="s">
        <v>1105</v>
      </c>
      <c r="C20" s="5">
        <v>0</v>
      </c>
      <c r="D20" s="5">
        <v>1</v>
      </c>
      <c r="E20" s="5">
        <v>57</v>
      </c>
      <c r="F20" s="5">
        <v>31.07</v>
      </c>
      <c r="G20" s="5" t="s">
        <v>1116</v>
      </c>
      <c r="H20" s="5" t="s">
        <v>1119</v>
      </c>
    </row>
    <row r="21" spans="1:8" ht="27" x14ac:dyDescent="0.25">
      <c r="A21" s="5" t="str">
        <f>"26/06/2025"</f>
        <v>26/06/2025</v>
      </c>
      <c r="B21" s="5" t="s">
        <v>1102</v>
      </c>
      <c r="C21" s="5">
        <v>0</v>
      </c>
      <c r="D21" s="5">
        <v>1</v>
      </c>
      <c r="E21" s="5">
        <v>56</v>
      </c>
      <c r="F21" s="5">
        <v>31.07</v>
      </c>
      <c r="G21" s="5" t="s">
        <v>1116</v>
      </c>
      <c r="H21" s="5" t="s">
        <v>1120</v>
      </c>
    </row>
    <row r="22" spans="1:8" ht="27" x14ac:dyDescent="0.25">
      <c r="A22" s="5" t="str">
        <f>"27/06/2025"</f>
        <v>27/06/2025</v>
      </c>
      <c r="B22" s="5" t="s">
        <v>1105</v>
      </c>
      <c r="C22" s="5">
        <v>0</v>
      </c>
      <c r="D22" s="5">
        <v>1</v>
      </c>
      <c r="E22" s="5">
        <v>55</v>
      </c>
      <c r="F22" s="5">
        <v>31.07</v>
      </c>
      <c r="G22" s="5" t="s">
        <v>1116</v>
      </c>
      <c r="H22" s="5" t="s">
        <v>1121</v>
      </c>
    </row>
    <row r="23" spans="1:8" ht="27" x14ac:dyDescent="0.25">
      <c r="A23" s="5" t="str">
        <f>"27/06/2025"</f>
        <v>27/06/2025</v>
      </c>
      <c r="B23" s="5" t="s">
        <v>1105</v>
      </c>
      <c r="C23" s="5">
        <v>0</v>
      </c>
      <c r="D23" s="5">
        <v>1</v>
      </c>
      <c r="E23" s="5">
        <v>54</v>
      </c>
      <c r="F23" s="5">
        <v>31.07</v>
      </c>
      <c r="G23" s="5" t="s">
        <v>1116</v>
      </c>
      <c r="H23" s="5" t="s">
        <v>1122</v>
      </c>
    </row>
    <row r="24" spans="1:8" ht="27" x14ac:dyDescent="0.25">
      <c r="A24" s="5" t="str">
        <f>"27/06/2025"</f>
        <v>27/06/2025</v>
      </c>
      <c r="B24" s="5" t="s">
        <v>1108</v>
      </c>
      <c r="C24" s="5">
        <v>0</v>
      </c>
      <c r="D24" s="5">
        <v>1</v>
      </c>
      <c r="E24" s="5">
        <v>53</v>
      </c>
      <c r="F24" s="5">
        <v>31.07</v>
      </c>
      <c r="G24" s="5" t="s">
        <v>1116</v>
      </c>
      <c r="H24" s="5" t="s">
        <v>1123</v>
      </c>
    </row>
    <row r="25" spans="1:8" ht="27" x14ac:dyDescent="0.25">
      <c r="A25" s="5" t="str">
        <f>"28/06/2025"</f>
        <v>28/06/2025</v>
      </c>
      <c r="B25" s="5" t="s">
        <v>1105</v>
      </c>
      <c r="C25" s="5">
        <v>0</v>
      </c>
      <c r="D25" s="5">
        <v>1</v>
      </c>
      <c r="E25" s="5">
        <v>52</v>
      </c>
      <c r="F25" s="5">
        <v>31.07</v>
      </c>
      <c r="G25" s="5" t="s">
        <v>1116</v>
      </c>
      <c r="H25" s="5" t="s">
        <v>1124</v>
      </c>
    </row>
    <row r="26" spans="1:8" ht="27" x14ac:dyDescent="0.25">
      <c r="A26" s="5" t="str">
        <f>"29/06/2025"</f>
        <v>29/06/2025</v>
      </c>
      <c r="B26" s="5" t="s">
        <v>1102</v>
      </c>
      <c r="C26" s="5">
        <v>0</v>
      </c>
      <c r="D26" s="5">
        <v>1</v>
      </c>
      <c r="E26" s="5">
        <v>51</v>
      </c>
      <c r="F26" s="5">
        <v>31.07</v>
      </c>
      <c r="G26" s="5" t="s">
        <v>1116</v>
      </c>
      <c r="H26" s="5" t="s">
        <v>1125</v>
      </c>
    </row>
    <row r="27" spans="1:8" ht="27" x14ac:dyDescent="0.25">
      <c r="A27" s="5" t="str">
        <f>"29/06/2025"</f>
        <v>29/06/2025</v>
      </c>
      <c r="B27" s="5" t="s">
        <v>1102</v>
      </c>
      <c r="C27" s="5">
        <v>0</v>
      </c>
      <c r="D27" s="5">
        <v>1</v>
      </c>
      <c r="E27" s="5">
        <v>50</v>
      </c>
      <c r="F27" s="5">
        <v>31.07</v>
      </c>
      <c r="G27" s="5" t="s">
        <v>1116</v>
      </c>
      <c r="H27" s="5" t="s">
        <v>1126</v>
      </c>
    </row>
    <row r="28" spans="1:8" ht="27" x14ac:dyDescent="0.25">
      <c r="A28" s="5" t="str">
        <f>"30/06/2025"</f>
        <v>30/06/2025</v>
      </c>
      <c r="B28" s="5" t="s">
        <v>1105</v>
      </c>
      <c r="C28" s="5">
        <v>0</v>
      </c>
      <c r="D28" s="5">
        <v>1</v>
      </c>
      <c r="E28" s="5">
        <v>49</v>
      </c>
      <c r="F28" s="5">
        <v>31.07</v>
      </c>
      <c r="G28" s="5" t="s">
        <v>1116</v>
      </c>
      <c r="H28" s="5" t="s">
        <v>1127</v>
      </c>
    </row>
    <row r="29" spans="1:8" ht="27" x14ac:dyDescent="0.25">
      <c r="A29" s="5" t="str">
        <f>"30/06/2025"</f>
        <v>30/06/2025</v>
      </c>
      <c r="B29" s="5" t="s">
        <v>1108</v>
      </c>
      <c r="C29" s="5">
        <v>0</v>
      </c>
      <c r="D29" s="5">
        <v>1</v>
      </c>
      <c r="E29" s="5">
        <v>48</v>
      </c>
      <c r="F29" s="5">
        <v>31.07</v>
      </c>
      <c r="G29" s="5" t="s">
        <v>1116</v>
      </c>
      <c r="H29" s="5" t="s">
        <v>1128</v>
      </c>
    </row>
    <row r="30" spans="1:8" ht="27" x14ac:dyDescent="0.25">
      <c r="A30" s="5" t="str">
        <f t="shared" ref="A30:A36" si="0">"01/07/2025"</f>
        <v>01/07/2025</v>
      </c>
      <c r="B30" s="5" t="s">
        <v>1129</v>
      </c>
      <c r="C30" s="5">
        <v>0</v>
      </c>
      <c r="D30" s="5">
        <v>1</v>
      </c>
      <c r="E30" s="5">
        <v>47</v>
      </c>
      <c r="F30" s="5">
        <v>31.07</v>
      </c>
      <c r="G30" s="5" t="s">
        <v>1116</v>
      </c>
      <c r="H30" s="5" t="s">
        <v>1130</v>
      </c>
    </row>
    <row r="31" spans="1:8" ht="27" x14ac:dyDescent="0.25">
      <c r="A31" s="5" t="str">
        <f t="shared" si="0"/>
        <v>01/07/2025</v>
      </c>
      <c r="B31" s="5" t="s">
        <v>1105</v>
      </c>
      <c r="C31" s="5">
        <v>0</v>
      </c>
      <c r="D31" s="5">
        <v>1</v>
      </c>
      <c r="E31" s="5">
        <v>46</v>
      </c>
      <c r="F31" s="5">
        <v>31.07</v>
      </c>
      <c r="G31" s="5" t="s">
        <v>1116</v>
      </c>
      <c r="H31" s="5" t="s">
        <v>1131</v>
      </c>
    </row>
    <row r="32" spans="1:8" ht="27" x14ac:dyDescent="0.25">
      <c r="A32" s="5" t="str">
        <f t="shared" si="0"/>
        <v>01/07/2025</v>
      </c>
      <c r="B32" s="5" t="s">
        <v>1105</v>
      </c>
      <c r="C32" s="5">
        <v>0</v>
      </c>
      <c r="D32" s="5">
        <v>1</v>
      </c>
      <c r="E32" s="5">
        <v>45</v>
      </c>
      <c r="F32" s="5">
        <v>31.07</v>
      </c>
      <c r="G32" s="5" t="s">
        <v>1116</v>
      </c>
      <c r="H32" s="5" t="s">
        <v>1132</v>
      </c>
    </row>
    <row r="33" spans="1:8" ht="27" x14ac:dyDescent="0.25">
      <c r="A33" s="5" t="str">
        <f t="shared" si="0"/>
        <v>01/07/2025</v>
      </c>
      <c r="B33" s="5" t="s">
        <v>1105</v>
      </c>
      <c r="C33" s="5">
        <v>0</v>
      </c>
      <c r="D33" s="5">
        <v>1</v>
      </c>
      <c r="E33" s="5">
        <v>44</v>
      </c>
      <c r="F33" s="5">
        <v>31.07</v>
      </c>
      <c r="G33" s="5" t="s">
        <v>1116</v>
      </c>
      <c r="H33" s="5" t="s">
        <v>1133</v>
      </c>
    </row>
    <row r="34" spans="1:8" ht="27" x14ac:dyDescent="0.25">
      <c r="A34" s="5" t="str">
        <f t="shared" si="0"/>
        <v>01/07/2025</v>
      </c>
      <c r="B34" s="5" t="s">
        <v>1105</v>
      </c>
      <c r="C34" s="5">
        <v>0</v>
      </c>
      <c r="D34" s="5">
        <v>1</v>
      </c>
      <c r="E34" s="5">
        <v>43</v>
      </c>
      <c r="F34" s="5">
        <v>31.07</v>
      </c>
      <c r="G34" s="5" t="s">
        <v>1116</v>
      </c>
      <c r="H34" s="5" t="s">
        <v>1134</v>
      </c>
    </row>
    <row r="35" spans="1:8" ht="27" x14ac:dyDescent="0.25">
      <c r="A35" s="5" t="str">
        <f t="shared" si="0"/>
        <v>01/07/2025</v>
      </c>
      <c r="B35" s="5" t="s">
        <v>1105</v>
      </c>
      <c r="C35" s="5">
        <v>0</v>
      </c>
      <c r="D35" s="5">
        <v>1</v>
      </c>
      <c r="E35" s="5">
        <v>42</v>
      </c>
      <c r="F35" s="5">
        <v>31.07</v>
      </c>
      <c r="G35" s="5" t="s">
        <v>1116</v>
      </c>
      <c r="H35" s="5" t="s">
        <v>1135</v>
      </c>
    </row>
    <row r="36" spans="1:8" ht="27" x14ac:dyDescent="0.25">
      <c r="A36" s="5" t="str">
        <f t="shared" si="0"/>
        <v>01/07/2025</v>
      </c>
      <c r="B36" s="5" t="s">
        <v>1105</v>
      </c>
      <c r="C36" s="5">
        <v>0</v>
      </c>
      <c r="D36" s="5">
        <v>1</v>
      </c>
      <c r="E36" s="5">
        <v>41</v>
      </c>
      <c r="F36" s="5">
        <v>31.07</v>
      </c>
      <c r="G36" s="5" t="s">
        <v>1116</v>
      </c>
      <c r="H36" s="5" t="s">
        <v>1136</v>
      </c>
    </row>
    <row r="37" spans="1:8" ht="27" x14ac:dyDescent="0.25">
      <c r="A37" s="5" t="str">
        <f>"02/07/2025"</f>
        <v>02/07/2025</v>
      </c>
      <c r="B37" s="5" t="s">
        <v>1108</v>
      </c>
      <c r="C37" s="5">
        <v>0</v>
      </c>
      <c r="D37" s="5">
        <v>1</v>
      </c>
      <c r="E37" s="5">
        <v>40</v>
      </c>
      <c r="F37" s="5">
        <v>31.07</v>
      </c>
      <c r="G37" s="5" t="s">
        <v>1116</v>
      </c>
      <c r="H37" s="5" t="s">
        <v>1137</v>
      </c>
    </row>
    <row r="38" spans="1:8" ht="27" x14ac:dyDescent="0.25">
      <c r="A38" s="5" t="str">
        <f>"02/07/2025"</f>
        <v>02/07/2025</v>
      </c>
      <c r="B38" s="5" t="s">
        <v>1108</v>
      </c>
      <c r="C38" s="5">
        <v>0</v>
      </c>
      <c r="D38" s="5">
        <v>1</v>
      </c>
      <c r="E38" s="5">
        <v>39</v>
      </c>
      <c r="F38" s="5">
        <v>31.07</v>
      </c>
      <c r="G38" s="5" t="s">
        <v>1116</v>
      </c>
      <c r="H38" s="5" t="s">
        <v>1138</v>
      </c>
    </row>
    <row r="39" spans="1:8" ht="27" x14ac:dyDescent="0.25">
      <c r="A39" s="5" t="str">
        <f>"02/07/2025"</f>
        <v>02/07/2025</v>
      </c>
      <c r="B39" s="5" t="s">
        <v>1108</v>
      </c>
      <c r="C39" s="5">
        <v>0</v>
      </c>
      <c r="D39" s="5">
        <v>1</v>
      </c>
      <c r="E39" s="5">
        <v>38</v>
      </c>
      <c r="F39" s="5">
        <v>31.07</v>
      </c>
      <c r="G39" s="5" t="s">
        <v>1116</v>
      </c>
      <c r="H39" s="5" t="s">
        <v>1139</v>
      </c>
    </row>
    <row r="40" spans="1:8" ht="27" x14ac:dyDescent="0.25">
      <c r="A40" s="5" t="str">
        <f>"02/07/2025"</f>
        <v>02/07/2025</v>
      </c>
      <c r="B40" s="5" t="s">
        <v>1105</v>
      </c>
      <c r="C40" s="5">
        <v>0</v>
      </c>
      <c r="D40" s="5">
        <v>1</v>
      </c>
      <c r="E40" s="5">
        <v>37</v>
      </c>
      <c r="F40" s="5">
        <v>31.07</v>
      </c>
      <c r="G40" s="5" t="s">
        <v>1116</v>
      </c>
      <c r="H40" s="5" t="s">
        <v>1140</v>
      </c>
    </row>
    <row r="41" spans="1:8" ht="27" x14ac:dyDescent="0.25">
      <c r="A41" s="5" t="str">
        <f>"02/07/2025"</f>
        <v>02/07/2025</v>
      </c>
      <c r="B41" s="5" t="s">
        <v>1114</v>
      </c>
      <c r="C41" s="5">
        <v>36</v>
      </c>
      <c r="D41" s="5">
        <v>0</v>
      </c>
      <c r="E41" s="5">
        <v>73</v>
      </c>
      <c r="F41" s="5">
        <v>31.07</v>
      </c>
      <c r="G41" s="5" t="s">
        <v>1141</v>
      </c>
      <c r="H41" s="6"/>
    </row>
    <row r="42" spans="1:8" ht="27" x14ac:dyDescent="0.25">
      <c r="A42" s="5" t="str">
        <f>"03/07/2025"</f>
        <v>03/07/2025</v>
      </c>
      <c r="B42" s="5" t="s">
        <v>1105</v>
      </c>
      <c r="C42" s="5">
        <v>0</v>
      </c>
      <c r="D42" s="5">
        <v>1</v>
      </c>
      <c r="E42" s="5">
        <v>72</v>
      </c>
      <c r="F42" s="5">
        <v>31.07</v>
      </c>
      <c r="G42" s="5" t="s">
        <v>1116</v>
      </c>
      <c r="H42" s="5" t="s">
        <v>1142</v>
      </c>
    </row>
    <row r="43" spans="1:8" ht="27" x14ac:dyDescent="0.25">
      <c r="A43" s="5" t="str">
        <f>"03/07/2025"</f>
        <v>03/07/2025</v>
      </c>
      <c r="B43" s="5" t="s">
        <v>1102</v>
      </c>
      <c r="C43" s="5">
        <v>0</v>
      </c>
      <c r="D43" s="5">
        <v>1</v>
      </c>
      <c r="E43" s="5">
        <v>71</v>
      </c>
      <c r="F43" s="5">
        <v>31.07</v>
      </c>
      <c r="G43" s="5" t="s">
        <v>1143</v>
      </c>
      <c r="H43" s="5" t="s">
        <v>1144</v>
      </c>
    </row>
    <row r="44" spans="1:8" ht="27" x14ac:dyDescent="0.25">
      <c r="A44" s="5" t="str">
        <f>"03/07/2025"</f>
        <v>03/07/2025</v>
      </c>
      <c r="B44" s="5" t="s">
        <v>1114</v>
      </c>
      <c r="C44" s="5">
        <v>0</v>
      </c>
      <c r="D44" s="5">
        <v>1</v>
      </c>
      <c r="E44" s="5">
        <v>70</v>
      </c>
      <c r="F44" s="5">
        <v>31.07</v>
      </c>
      <c r="G44" s="5" t="s">
        <v>1143</v>
      </c>
      <c r="H44" s="5" t="s">
        <v>1145</v>
      </c>
    </row>
    <row r="45" spans="1:8" ht="27" x14ac:dyDescent="0.25">
      <c r="A45" s="5" t="str">
        <f>"04/07/2025"</f>
        <v>04/07/2025</v>
      </c>
      <c r="B45" s="5" t="s">
        <v>1108</v>
      </c>
      <c r="C45" s="5">
        <v>0</v>
      </c>
      <c r="D45" s="5">
        <v>1</v>
      </c>
      <c r="E45" s="5">
        <v>69</v>
      </c>
      <c r="F45" s="5">
        <v>31.07</v>
      </c>
      <c r="G45" s="5" t="s">
        <v>1143</v>
      </c>
      <c r="H45" s="5" t="s">
        <v>1146</v>
      </c>
    </row>
    <row r="46" spans="1:8" ht="27" x14ac:dyDescent="0.25">
      <c r="A46" s="5" t="str">
        <f>"04/07/2025"</f>
        <v>04/07/2025</v>
      </c>
      <c r="B46" s="5" t="s">
        <v>1105</v>
      </c>
      <c r="C46" s="5">
        <v>0</v>
      </c>
      <c r="D46" s="5">
        <v>1</v>
      </c>
      <c r="E46" s="5">
        <v>68</v>
      </c>
      <c r="F46" s="5">
        <v>31.07</v>
      </c>
      <c r="G46" s="5" t="s">
        <v>1143</v>
      </c>
      <c r="H46" s="5" t="s">
        <v>1147</v>
      </c>
    </row>
    <row r="47" spans="1:8" ht="27" x14ac:dyDescent="0.25">
      <c r="A47" s="5" t="str">
        <f>"05/07/2025"</f>
        <v>05/07/2025</v>
      </c>
      <c r="B47" s="5" t="s">
        <v>1102</v>
      </c>
      <c r="C47" s="5">
        <v>0</v>
      </c>
      <c r="D47" s="5">
        <v>1</v>
      </c>
      <c r="E47" s="5">
        <v>67</v>
      </c>
      <c r="F47" s="5">
        <v>31.07</v>
      </c>
      <c r="G47" s="5" t="s">
        <v>1143</v>
      </c>
      <c r="H47" s="5" t="s">
        <v>1148</v>
      </c>
    </row>
    <row r="48" spans="1:8" ht="27" x14ac:dyDescent="0.25">
      <c r="A48" s="5" t="str">
        <f>"05/07/2025"</f>
        <v>05/07/2025</v>
      </c>
      <c r="B48" s="5" t="s">
        <v>1105</v>
      </c>
      <c r="C48" s="5">
        <v>0</v>
      </c>
      <c r="D48" s="5">
        <v>1</v>
      </c>
      <c r="E48" s="5">
        <v>66</v>
      </c>
      <c r="F48" s="5">
        <v>31.07</v>
      </c>
      <c r="G48" s="5" t="s">
        <v>1143</v>
      </c>
      <c r="H48" s="5" t="s">
        <v>1149</v>
      </c>
    </row>
    <row r="49" spans="1:8" ht="27" x14ac:dyDescent="0.25">
      <c r="A49" s="5" t="str">
        <f>"05/07/2025"</f>
        <v>05/07/2025</v>
      </c>
      <c r="B49" s="5" t="s">
        <v>1102</v>
      </c>
      <c r="C49" s="5">
        <v>0</v>
      </c>
      <c r="D49" s="5">
        <v>1</v>
      </c>
      <c r="E49" s="5">
        <v>65</v>
      </c>
      <c r="F49" s="5">
        <v>31.07</v>
      </c>
      <c r="G49" s="5" t="s">
        <v>1143</v>
      </c>
      <c r="H49" s="5" t="s">
        <v>1150</v>
      </c>
    </row>
    <row r="50" spans="1:8" ht="27" x14ac:dyDescent="0.25">
      <c r="A50" s="5" t="str">
        <f>"05/07/2025"</f>
        <v>05/07/2025</v>
      </c>
      <c r="B50" s="5" t="s">
        <v>1102</v>
      </c>
      <c r="C50" s="5">
        <v>0</v>
      </c>
      <c r="D50" s="5">
        <v>1</v>
      </c>
      <c r="E50" s="5">
        <v>64</v>
      </c>
      <c r="F50" s="5">
        <v>31.07</v>
      </c>
      <c r="G50" s="5" t="s">
        <v>1143</v>
      </c>
      <c r="H50" s="5" t="s">
        <v>1151</v>
      </c>
    </row>
    <row r="51" spans="1:8" ht="27" x14ac:dyDescent="0.25">
      <c r="A51" s="5" t="str">
        <f>"05/07/2025"</f>
        <v>05/07/2025</v>
      </c>
      <c r="B51" s="5" t="s">
        <v>1102</v>
      </c>
      <c r="C51" s="5">
        <v>0</v>
      </c>
      <c r="D51" s="5">
        <v>1</v>
      </c>
      <c r="E51" s="5">
        <v>63</v>
      </c>
      <c r="F51" s="5">
        <v>31.07</v>
      </c>
      <c r="G51" s="5" t="s">
        <v>1143</v>
      </c>
      <c r="H51" s="5" t="s">
        <v>1152</v>
      </c>
    </row>
    <row r="52" spans="1:8" ht="27" x14ac:dyDescent="0.25">
      <c r="A52" s="5" t="str">
        <f>"06/07/2025"</f>
        <v>06/07/2025</v>
      </c>
      <c r="B52" s="5" t="s">
        <v>1102</v>
      </c>
      <c r="C52" s="5">
        <v>0</v>
      </c>
      <c r="D52" s="5">
        <v>1</v>
      </c>
      <c r="E52" s="5">
        <v>62</v>
      </c>
      <c r="F52" s="5">
        <v>31.07</v>
      </c>
      <c r="G52" s="5" t="s">
        <v>1143</v>
      </c>
      <c r="H52" s="5" t="s">
        <v>1153</v>
      </c>
    </row>
    <row r="53" spans="1:8" ht="27" x14ac:dyDescent="0.25">
      <c r="A53" s="5" t="str">
        <f>"06/07/2025"</f>
        <v>06/07/2025</v>
      </c>
      <c r="B53" s="5" t="s">
        <v>1102</v>
      </c>
      <c r="C53" s="5">
        <v>0</v>
      </c>
      <c r="D53" s="5">
        <v>1</v>
      </c>
      <c r="E53" s="5">
        <v>61</v>
      </c>
      <c r="F53" s="5">
        <v>31.07</v>
      </c>
      <c r="G53" s="5" t="s">
        <v>1143</v>
      </c>
      <c r="H53" s="5" t="s">
        <v>1154</v>
      </c>
    </row>
    <row r="54" spans="1:8" ht="27" x14ac:dyDescent="0.25">
      <c r="A54" s="5" t="str">
        <f t="shared" ref="A54:A59" si="1">"07/07/2025"</f>
        <v>07/07/2025</v>
      </c>
      <c r="B54" s="5" t="s">
        <v>1105</v>
      </c>
      <c r="C54" s="5">
        <v>0</v>
      </c>
      <c r="D54" s="5">
        <v>1</v>
      </c>
      <c r="E54" s="5">
        <v>60</v>
      </c>
      <c r="F54" s="5">
        <v>31.07</v>
      </c>
      <c r="G54" s="5" t="s">
        <v>1143</v>
      </c>
      <c r="H54" s="5" t="s">
        <v>1155</v>
      </c>
    </row>
    <row r="55" spans="1:8" ht="27" x14ac:dyDescent="0.25">
      <c r="A55" s="5" t="str">
        <f t="shared" si="1"/>
        <v>07/07/2025</v>
      </c>
      <c r="B55" s="5" t="s">
        <v>1102</v>
      </c>
      <c r="C55" s="5">
        <v>0</v>
      </c>
      <c r="D55" s="5">
        <v>1</v>
      </c>
      <c r="E55" s="5">
        <v>59</v>
      </c>
      <c r="F55" s="5">
        <v>31.07</v>
      </c>
      <c r="G55" s="5" t="s">
        <v>1143</v>
      </c>
      <c r="H55" s="5" t="s">
        <v>1156</v>
      </c>
    </row>
    <row r="56" spans="1:8" ht="27" x14ac:dyDescent="0.25">
      <c r="A56" s="5" t="str">
        <f t="shared" si="1"/>
        <v>07/07/2025</v>
      </c>
      <c r="B56" s="5" t="s">
        <v>1102</v>
      </c>
      <c r="C56" s="5">
        <v>0</v>
      </c>
      <c r="D56" s="5">
        <v>1</v>
      </c>
      <c r="E56" s="5">
        <v>58</v>
      </c>
      <c r="F56" s="5">
        <v>31.07</v>
      </c>
      <c r="G56" s="5" t="s">
        <v>1143</v>
      </c>
      <c r="H56" s="5" t="s">
        <v>1157</v>
      </c>
    </row>
    <row r="57" spans="1:8" ht="27" x14ac:dyDescent="0.25">
      <c r="A57" s="5" t="str">
        <f t="shared" si="1"/>
        <v>07/07/2025</v>
      </c>
      <c r="B57" s="5" t="s">
        <v>1102</v>
      </c>
      <c r="C57" s="5">
        <v>0</v>
      </c>
      <c r="D57" s="5">
        <v>1</v>
      </c>
      <c r="E57" s="5">
        <v>57</v>
      </c>
      <c r="F57" s="5">
        <v>31.07</v>
      </c>
      <c r="G57" s="5" t="s">
        <v>1143</v>
      </c>
      <c r="H57" s="5" t="s">
        <v>1158</v>
      </c>
    </row>
    <row r="58" spans="1:8" ht="27" x14ac:dyDescent="0.25">
      <c r="A58" s="5" t="str">
        <f t="shared" si="1"/>
        <v>07/07/2025</v>
      </c>
      <c r="B58" s="5" t="s">
        <v>1105</v>
      </c>
      <c r="C58" s="5">
        <v>0</v>
      </c>
      <c r="D58" s="5">
        <v>1</v>
      </c>
      <c r="E58" s="5">
        <v>56</v>
      </c>
      <c r="F58" s="5">
        <v>31.07</v>
      </c>
      <c r="G58" s="5" t="s">
        <v>1143</v>
      </c>
      <c r="H58" s="5" t="s">
        <v>1159</v>
      </c>
    </row>
    <row r="59" spans="1:8" ht="27" x14ac:dyDescent="0.25">
      <c r="A59" s="5" t="str">
        <f t="shared" si="1"/>
        <v>07/07/2025</v>
      </c>
      <c r="B59" s="5" t="s">
        <v>1108</v>
      </c>
      <c r="C59" s="5">
        <v>0</v>
      </c>
      <c r="D59" s="5">
        <v>1</v>
      </c>
      <c r="E59" s="5">
        <v>55</v>
      </c>
      <c r="F59" s="5">
        <v>31.07</v>
      </c>
      <c r="G59" s="5" t="s">
        <v>1143</v>
      </c>
      <c r="H59" s="5" t="s">
        <v>1160</v>
      </c>
    </row>
    <row r="60" spans="1:8" ht="27" x14ac:dyDescent="0.25">
      <c r="A60" s="5" t="str">
        <f>"08/07/2025"</f>
        <v>08/07/2025</v>
      </c>
      <c r="B60" s="5" t="s">
        <v>1105</v>
      </c>
      <c r="C60" s="5">
        <v>0</v>
      </c>
      <c r="D60" s="5">
        <v>1</v>
      </c>
      <c r="E60" s="5">
        <v>54</v>
      </c>
      <c r="F60" s="5">
        <v>31.07</v>
      </c>
      <c r="G60" s="5" t="s">
        <v>1143</v>
      </c>
      <c r="H60" s="5" t="s">
        <v>1161</v>
      </c>
    </row>
    <row r="61" spans="1:8" ht="27" x14ac:dyDescent="0.25">
      <c r="A61" s="5" t="str">
        <f>"08/07/2025"</f>
        <v>08/07/2025</v>
      </c>
      <c r="B61" s="5" t="s">
        <v>1102</v>
      </c>
      <c r="C61" s="5">
        <v>0</v>
      </c>
      <c r="D61" s="5">
        <v>1</v>
      </c>
      <c r="E61" s="5">
        <v>53</v>
      </c>
      <c r="F61" s="5">
        <v>31.07</v>
      </c>
      <c r="G61" s="5" t="s">
        <v>1143</v>
      </c>
      <c r="H61" s="5" t="s">
        <v>1162</v>
      </c>
    </row>
    <row r="62" spans="1:8" ht="27" x14ac:dyDescent="0.25">
      <c r="A62" s="5" t="str">
        <f>"09/07/2025"</f>
        <v>09/07/2025</v>
      </c>
      <c r="B62" s="5" t="s">
        <v>1105</v>
      </c>
      <c r="C62" s="5">
        <v>0</v>
      </c>
      <c r="D62" s="5">
        <v>1</v>
      </c>
      <c r="E62" s="5">
        <v>52</v>
      </c>
      <c r="F62" s="5">
        <v>31.07</v>
      </c>
      <c r="G62" s="5" t="s">
        <v>1143</v>
      </c>
      <c r="H62" s="5" t="s">
        <v>1163</v>
      </c>
    </row>
    <row r="63" spans="1:8" ht="27" x14ac:dyDescent="0.25">
      <c r="A63" s="5" t="str">
        <f>"09/07/2025"</f>
        <v>09/07/2025</v>
      </c>
      <c r="B63" s="5" t="s">
        <v>1105</v>
      </c>
      <c r="C63" s="5">
        <v>1</v>
      </c>
      <c r="D63" s="5">
        <v>0</v>
      </c>
      <c r="E63" s="5">
        <v>53</v>
      </c>
      <c r="F63" s="5">
        <v>31.07</v>
      </c>
      <c r="G63" s="5" t="s">
        <v>1164</v>
      </c>
      <c r="H63" s="6"/>
    </row>
    <row r="64" spans="1:8" ht="27" x14ac:dyDescent="0.25">
      <c r="A64" s="5" t="str">
        <f>"09/07/2025"</f>
        <v>09/07/2025</v>
      </c>
      <c r="B64" s="5" t="s">
        <v>1102</v>
      </c>
      <c r="C64" s="5">
        <v>1</v>
      </c>
      <c r="D64" s="5">
        <v>0</v>
      </c>
      <c r="E64" s="5">
        <v>54</v>
      </c>
      <c r="F64" s="5">
        <v>31.07</v>
      </c>
      <c r="G64" s="5" t="s">
        <v>1165</v>
      </c>
      <c r="H64" s="6"/>
    </row>
    <row r="65" spans="1:8" ht="27" x14ac:dyDescent="0.25">
      <c r="A65" s="5" t="str">
        <f>"10/07/2025"</f>
        <v>10/07/2025</v>
      </c>
      <c r="B65" s="5" t="s">
        <v>1114</v>
      </c>
      <c r="C65" s="5">
        <v>0</v>
      </c>
      <c r="D65" s="5">
        <v>1</v>
      </c>
      <c r="E65" s="5">
        <v>53</v>
      </c>
      <c r="F65" s="5">
        <v>31.07</v>
      </c>
      <c r="G65" s="5" t="s">
        <v>1164</v>
      </c>
      <c r="H65" s="5" t="s">
        <v>1166</v>
      </c>
    </row>
    <row r="66" spans="1:8" ht="27" x14ac:dyDescent="0.25">
      <c r="A66" s="5" t="str">
        <f>"10/07/2025"</f>
        <v>10/07/2025</v>
      </c>
      <c r="B66" s="5" t="s">
        <v>1129</v>
      </c>
      <c r="C66" s="5">
        <v>0</v>
      </c>
      <c r="D66" s="5">
        <v>1</v>
      </c>
      <c r="E66" s="5">
        <v>52</v>
      </c>
      <c r="F66" s="5">
        <v>31.07</v>
      </c>
      <c r="G66" s="5" t="s">
        <v>1165</v>
      </c>
      <c r="H66" s="5" t="s">
        <v>1167</v>
      </c>
    </row>
    <row r="67" spans="1:8" ht="27" x14ac:dyDescent="0.25">
      <c r="A67" s="5" t="str">
        <f>"11/07/2025"</f>
        <v>11/07/2025</v>
      </c>
      <c r="B67" s="5" t="s">
        <v>1129</v>
      </c>
      <c r="C67" s="5">
        <v>0</v>
      </c>
      <c r="D67" s="5">
        <v>1</v>
      </c>
      <c r="E67" s="5">
        <v>51</v>
      </c>
      <c r="F67" s="5">
        <v>31.07</v>
      </c>
      <c r="G67" s="5" t="s">
        <v>1143</v>
      </c>
      <c r="H67" s="5" t="s">
        <v>1168</v>
      </c>
    </row>
    <row r="68" spans="1:8" ht="27" x14ac:dyDescent="0.25">
      <c r="A68" s="5" t="str">
        <f>"11/07/2025"</f>
        <v>11/07/2025</v>
      </c>
      <c r="B68" s="5" t="s">
        <v>1129</v>
      </c>
      <c r="C68" s="5">
        <v>0</v>
      </c>
      <c r="D68" s="5">
        <v>1</v>
      </c>
      <c r="E68" s="5">
        <v>50</v>
      </c>
      <c r="F68" s="5">
        <v>31.07</v>
      </c>
      <c r="G68" s="5" t="s">
        <v>1143</v>
      </c>
      <c r="H68" s="5" t="s">
        <v>1169</v>
      </c>
    </row>
    <row r="69" spans="1:8" ht="27" x14ac:dyDescent="0.25">
      <c r="A69" s="5" t="str">
        <f>"11/07/2025"</f>
        <v>11/07/2025</v>
      </c>
      <c r="B69" s="5" t="s">
        <v>1170</v>
      </c>
      <c r="C69" s="5">
        <v>0</v>
      </c>
      <c r="D69" s="5">
        <v>1</v>
      </c>
      <c r="E69" s="5">
        <v>49</v>
      </c>
      <c r="F69" s="5">
        <v>31.07</v>
      </c>
      <c r="G69" s="5" t="s">
        <v>1143</v>
      </c>
      <c r="H69" s="5" t="s">
        <v>1171</v>
      </c>
    </row>
    <row r="70" spans="1:8" ht="27" x14ac:dyDescent="0.25">
      <c r="A70" s="5" t="str">
        <f>"13/07/2025"</f>
        <v>13/07/2025</v>
      </c>
      <c r="B70" s="5" t="s">
        <v>1102</v>
      </c>
      <c r="C70" s="5">
        <v>0</v>
      </c>
      <c r="D70" s="5">
        <v>1</v>
      </c>
      <c r="E70" s="5">
        <v>48</v>
      </c>
      <c r="F70" s="5">
        <v>31.07</v>
      </c>
      <c r="G70" s="5" t="s">
        <v>1143</v>
      </c>
      <c r="H70" s="5" t="s">
        <v>1172</v>
      </c>
    </row>
    <row r="71" spans="1:8" ht="27" x14ac:dyDescent="0.25">
      <c r="A71" s="5" t="str">
        <f>"13/07/2025"</f>
        <v>13/07/2025</v>
      </c>
      <c r="B71" s="5" t="s">
        <v>1102</v>
      </c>
      <c r="C71" s="5">
        <v>0</v>
      </c>
      <c r="D71" s="5">
        <v>1</v>
      </c>
      <c r="E71" s="5">
        <v>47</v>
      </c>
      <c r="F71" s="5">
        <v>31.07</v>
      </c>
      <c r="G71" s="5" t="s">
        <v>1143</v>
      </c>
      <c r="H71" s="5" t="s">
        <v>1173</v>
      </c>
    </row>
    <row r="72" spans="1:8" ht="27" x14ac:dyDescent="0.25">
      <c r="A72" s="5" t="str">
        <f t="shared" ref="A72:A78" si="2">"14/07/2025"</f>
        <v>14/07/2025</v>
      </c>
      <c r="B72" s="5" t="s">
        <v>1105</v>
      </c>
      <c r="C72" s="5">
        <v>0</v>
      </c>
      <c r="D72" s="5">
        <v>1</v>
      </c>
      <c r="E72" s="5">
        <v>46</v>
      </c>
      <c r="F72" s="5">
        <v>31.07</v>
      </c>
      <c r="G72" s="5" t="s">
        <v>1143</v>
      </c>
      <c r="H72" s="5" t="s">
        <v>1174</v>
      </c>
    </row>
    <row r="73" spans="1:8" ht="27" x14ac:dyDescent="0.25">
      <c r="A73" s="5" t="str">
        <f t="shared" si="2"/>
        <v>14/07/2025</v>
      </c>
      <c r="B73" s="5" t="s">
        <v>1105</v>
      </c>
      <c r="C73" s="5">
        <v>0</v>
      </c>
      <c r="D73" s="5">
        <v>1</v>
      </c>
      <c r="E73" s="5">
        <v>45</v>
      </c>
      <c r="F73" s="5">
        <v>31.07</v>
      </c>
      <c r="G73" s="5" t="s">
        <v>1143</v>
      </c>
      <c r="H73" s="5" t="s">
        <v>1175</v>
      </c>
    </row>
    <row r="74" spans="1:8" ht="27" x14ac:dyDescent="0.25">
      <c r="A74" s="5" t="str">
        <f t="shared" si="2"/>
        <v>14/07/2025</v>
      </c>
      <c r="B74" s="5" t="s">
        <v>1114</v>
      </c>
      <c r="C74" s="5">
        <v>12</v>
      </c>
      <c r="D74" s="5">
        <v>0</v>
      </c>
      <c r="E74" s="5">
        <v>57</v>
      </c>
      <c r="F74" s="5">
        <v>31.07</v>
      </c>
      <c r="G74" s="5" t="s">
        <v>1176</v>
      </c>
      <c r="H74" s="6"/>
    </row>
    <row r="75" spans="1:8" ht="27" x14ac:dyDescent="0.25">
      <c r="A75" s="5" t="str">
        <f t="shared" si="2"/>
        <v>14/07/2025</v>
      </c>
      <c r="B75" s="5" t="s">
        <v>1114</v>
      </c>
      <c r="C75" s="5">
        <v>0</v>
      </c>
      <c r="D75" s="5">
        <v>1</v>
      </c>
      <c r="E75" s="5">
        <v>56</v>
      </c>
      <c r="F75" s="5">
        <v>31.07</v>
      </c>
      <c r="G75" s="5" t="s">
        <v>1143</v>
      </c>
      <c r="H75" s="5" t="s">
        <v>1177</v>
      </c>
    </row>
    <row r="76" spans="1:8" ht="27" x14ac:dyDescent="0.25">
      <c r="A76" s="5" t="str">
        <f t="shared" si="2"/>
        <v>14/07/2025</v>
      </c>
      <c r="B76" s="5" t="s">
        <v>1178</v>
      </c>
      <c r="C76" s="5">
        <v>0</v>
      </c>
      <c r="D76" s="5">
        <v>1</v>
      </c>
      <c r="E76" s="5">
        <v>55</v>
      </c>
      <c r="F76" s="5">
        <v>31.07</v>
      </c>
      <c r="G76" s="5" t="s">
        <v>1143</v>
      </c>
      <c r="H76" s="5" t="s">
        <v>1179</v>
      </c>
    </row>
    <row r="77" spans="1:8" ht="27" x14ac:dyDescent="0.25">
      <c r="A77" s="5" t="str">
        <f t="shared" si="2"/>
        <v>14/07/2025</v>
      </c>
      <c r="B77" s="5" t="s">
        <v>1178</v>
      </c>
      <c r="C77" s="5">
        <v>0</v>
      </c>
      <c r="D77" s="5">
        <v>1</v>
      </c>
      <c r="E77" s="5">
        <v>54</v>
      </c>
      <c r="F77" s="5">
        <v>31.07</v>
      </c>
      <c r="G77" s="5" t="s">
        <v>1143</v>
      </c>
      <c r="H77" s="5" t="s">
        <v>1179</v>
      </c>
    </row>
    <row r="78" spans="1:8" ht="27" x14ac:dyDescent="0.25">
      <c r="A78" s="5" t="str">
        <f t="shared" si="2"/>
        <v>14/07/2025</v>
      </c>
      <c r="B78" s="5" t="s">
        <v>1129</v>
      </c>
      <c r="C78" s="5">
        <v>0</v>
      </c>
      <c r="D78" s="5">
        <v>1</v>
      </c>
      <c r="E78" s="5">
        <v>53</v>
      </c>
      <c r="F78" s="5">
        <v>31.07</v>
      </c>
      <c r="G78" s="5" t="s">
        <v>1143</v>
      </c>
      <c r="H78" s="5" t="s">
        <v>1180</v>
      </c>
    </row>
    <row r="79" spans="1:8" ht="27" x14ac:dyDescent="0.25">
      <c r="A79" s="5" t="str">
        <f>"15/07/2025"</f>
        <v>15/07/2025</v>
      </c>
      <c r="B79" s="5" t="s">
        <v>1129</v>
      </c>
      <c r="C79" s="5">
        <v>0</v>
      </c>
      <c r="D79" s="5">
        <v>1</v>
      </c>
      <c r="E79" s="5">
        <v>52</v>
      </c>
      <c r="F79" s="5">
        <v>31.07</v>
      </c>
      <c r="G79" s="5" t="s">
        <v>1143</v>
      </c>
      <c r="H79" s="5" t="s">
        <v>1181</v>
      </c>
    </row>
    <row r="80" spans="1:8" ht="27" x14ac:dyDescent="0.25">
      <c r="A80" s="5" t="str">
        <f>"15/07/2025"</f>
        <v>15/07/2025</v>
      </c>
      <c r="B80" s="5" t="s">
        <v>1114</v>
      </c>
      <c r="C80" s="5">
        <v>0</v>
      </c>
      <c r="D80" s="5">
        <v>1</v>
      </c>
      <c r="E80" s="5">
        <v>51</v>
      </c>
      <c r="F80" s="5">
        <v>31.07</v>
      </c>
      <c r="G80" s="5" t="s">
        <v>1143</v>
      </c>
      <c r="H80" s="5" t="s">
        <v>1182</v>
      </c>
    </row>
    <row r="81" spans="1:8" ht="27" x14ac:dyDescent="0.25">
      <c r="A81" s="5" t="str">
        <f>"15/07/2025"</f>
        <v>15/07/2025</v>
      </c>
      <c r="B81" s="5" t="s">
        <v>1114</v>
      </c>
      <c r="C81" s="5">
        <v>0</v>
      </c>
      <c r="D81" s="5">
        <v>1</v>
      </c>
      <c r="E81" s="5">
        <v>50</v>
      </c>
      <c r="F81" s="5">
        <v>31.07</v>
      </c>
      <c r="G81" s="5" t="s">
        <v>1143</v>
      </c>
      <c r="H81" s="5" t="s">
        <v>1183</v>
      </c>
    </row>
    <row r="82" spans="1:8" ht="27" x14ac:dyDescent="0.25">
      <c r="A82" s="5" t="str">
        <f>"15/07/2025"</f>
        <v>15/07/2025</v>
      </c>
      <c r="B82" s="5" t="s">
        <v>1102</v>
      </c>
      <c r="C82" s="5">
        <v>0</v>
      </c>
      <c r="D82" s="5">
        <v>1</v>
      </c>
      <c r="E82" s="5">
        <v>49</v>
      </c>
      <c r="F82" s="5">
        <v>31.07</v>
      </c>
      <c r="G82" s="5" t="s">
        <v>1143</v>
      </c>
      <c r="H82" s="5" t="s">
        <v>1184</v>
      </c>
    </row>
    <row r="83" spans="1:8" ht="27" x14ac:dyDescent="0.25">
      <c r="A83" s="5" t="str">
        <f t="shared" ref="A83:A88" si="3">"16/07/2025"</f>
        <v>16/07/2025</v>
      </c>
      <c r="B83" s="5" t="s">
        <v>1129</v>
      </c>
      <c r="C83" s="5">
        <v>0</v>
      </c>
      <c r="D83" s="5">
        <v>1</v>
      </c>
      <c r="E83" s="5">
        <v>48</v>
      </c>
      <c r="F83" s="5">
        <v>31.07</v>
      </c>
      <c r="G83" s="5" t="s">
        <v>1143</v>
      </c>
      <c r="H83" s="5" t="s">
        <v>1185</v>
      </c>
    </row>
    <row r="84" spans="1:8" ht="27" x14ac:dyDescent="0.25">
      <c r="A84" s="5" t="str">
        <f t="shared" si="3"/>
        <v>16/07/2025</v>
      </c>
      <c r="B84" s="5" t="s">
        <v>1114</v>
      </c>
      <c r="C84" s="5">
        <v>0</v>
      </c>
      <c r="D84" s="5">
        <v>1</v>
      </c>
      <c r="E84" s="5">
        <v>47</v>
      </c>
      <c r="F84" s="5">
        <v>31.07</v>
      </c>
      <c r="G84" s="5" t="s">
        <v>1176</v>
      </c>
      <c r="H84" s="5" t="s">
        <v>1186</v>
      </c>
    </row>
    <row r="85" spans="1:8" ht="27" x14ac:dyDescent="0.25">
      <c r="A85" s="5" t="str">
        <f t="shared" si="3"/>
        <v>16/07/2025</v>
      </c>
      <c r="B85" s="5" t="s">
        <v>1114</v>
      </c>
      <c r="C85" s="5">
        <v>0</v>
      </c>
      <c r="D85" s="5">
        <v>1</v>
      </c>
      <c r="E85" s="5">
        <v>46</v>
      </c>
      <c r="F85" s="5">
        <v>31.07</v>
      </c>
      <c r="G85" s="5" t="s">
        <v>1176</v>
      </c>
      <c r="H85" s="5" t="s">
        <v>1187</v>
      </c>
    </row>
    <row r="86" spans="1:8" ht="27" x14ac:dyDescent="0.25">
      <c r="A86" s="5" t="str">
        <f t="shared" si="3"/>
        <v>16/07/2025</v>
      </c>
      <c r="B86" s="5" t="s">
        <v>1114</v>
      </c>
      <c r="C86" s="5">
        <v>0</v>
      </c>
      <c r="D86" s="5">
        <v>1</v>
      </c>
      <c r="E86" s="5">
        <v>45</v>
      </c>
      <c r="F86" s="5">
        <v>31.07</v>
      </c>
      <c r="G86" s="5" t="s">
        <v>1176</v>
      </c>
      <c r="H86" s="5" t="s">
        <v>1188</v>
      </c>
    </row>
    <row r="87" spans="1:8" ht="27" x14ac:dyDescent="0.25">
      <c r="A87" s="5" t="str">
        <f t="shared" si="3"/>
        <v>16/07/2025</v>
      </c>
      <c r="B87" s="5" t="s">
        <v>1129</v>
      </c>
      <c r="C87" s="5">
        <v>0</v>
      </c>
      <c r="D87" s="5">
        <v>1</v>
      </c>
      <c r="E87" s="5">
        <v>44</v>
      </c>
      <c r="F87" s="5">
        <v>31.07</v>
      </c>
      <c r="G87" s="5" t="s">
        <v>1176</v>
      </c>
      <c r="H87" s="5" t="s">
        <v>1189</v>
      </c>
    </row>
    <row r="88" spans="1:8" ht="27" x14ac:dyDescent="0.25">
      <c r="A88" s="5" t="str">
        <f t="shared" si="3"/>
        <v>16/07/2025</v>
      </c>
      <c r="B88" s="5" t="s">
        <v>1114</v>
      </c>
      <c r="C88" s="5">
        <v>0</v>
      </c>
      <c r="D88" s="5">
        <v>1</v>
      </c>
      <c r="E88" s="5">
        <v>43</v>
      </c>
      <c r="F88" s="5">
        <v>31.07</v>
      </c>
      <c r="G88" s="5" t="s">
        <v>1176</v>
      </c>
      <c r="H88" s="5" t="s">
        <v>1190</v>
      </c>
    </row>
    <row r="89" spans="1:8" ht="27" x14ac:dyDescent="0.25">
      <c r="A89" s="5" t="str">
        <f>"17/07/2025"</f>
        <v>17/07/2025</v>
      </c>
      <c r="B89" s="5" t="s">
        <v>1114</v>
      </c>
      <c r="C89" s="5">
        <v>0</v>
      </c>
      <c r="D89" s="5">
        <v>1</v>
      </c>
      <c r="E89" s="5">
        <v>42</v>
      </c>
      <c r="F89" s="5">
        <v>31.07</v>
      </c>
      <c r="G89" s="5" t="s">
        <v>1176</v>
      </c>
      <c r="H89" s="5" t="s">
        <v>1191</v>
      </c>
    </row>
    <row r="90" spans="1:8" ht="27" x14ac:dyDescent="0.25">
      <c r="A90" s="5" t="str">
        <f>"17/07/2025"</f>
        <v>17/07/2025</v>
      </c>
      <c r="B90" s="5" t="s">
        <v>1114</v>
      </c>
      <c r="C90" s="5">
        <v>0</v>
      </c>
      <c r="D90" s="5">
        <v>1</v>
      </c>
      <c r="E90" s="5">
        <v>41</v>
      </c>
      <c r="F90" s="5">
        <v>31.07</v>
      </c>
      <c r="G90" s="5" t="s">
        <v>1176</v>
      </c>
      <c r="H90" s="5" t="s">
        <v>1192</v>
      </c>
    </row>
    <row r="91" spans="1:8" ht="27" x14ac:dyDescent="0.25">
      <c r="A91" s="5" t="str">
        <f>"18/07/2025"</f>
        <v>18/07/2025</v>
      </c>
      <c r="B91" s="5" t="s">
        <v>1114</v>
      </c>
      <c r="C91" s="5">
        <v>0</v>
      </c>
      <c r="D91" s="5">
        <v>1</v>
      </c>
      <c r="E91" s="5">
        <v>40</v>
      </c>
      <c r="F91" s="5">
        <v>31.07</v>
      </c>
      <c r="G91" s="5" t="s">
        <v>1176</v>
      </c>
      <c r="H91" s="5" t="s">
        <v>1193</v>
      </c>
    </row>
    <row r="92" spans="1:8" ht="27" x14ac:dyDescent="0.25">
      <c r="A92" s="5" t="str">
        <f>"18/07/2025"</f>
        <v>18/07/2025</v>
      </c>
      <c r="B92" s="5" t="s">
        <v>1114</v>
      </c>
      <c r="C92" s="5">
        <v>0</v>
      </c>
      <c r="D92" s="5">
        <v>1</v>
      </c>
      <c r="E92" s="5">
        <v>39</v>
      </c>
      <c r="F92" s="5">
        <v>31.07</v>
      </c>
      <c r="G92" s="5" t="s">
        <v>1176</v>
      </c>
      <c r="H92" s="5" t="s">
        <v>1194</v>
      </c>
    </row>
    <row r="93" spans="1:8" ht="27" x14ac:dyDescent="0.25">
      <c r="A93" s="5" t="str">
        <f>"19/07/2025"</f>
        <v>19/07/2025</v>
      </c>
      <c r="B93" s="5" t="s">
        <v>1102</v>
      </c>
      <c r="C93" s="5">
        <v>0</v>
      </c>
      <c r="D93" s="5">
        <v>1</v>
      </c>
      <c r="E93" s="5">
        <v>38</v>
      </c>
      <c r="F93" s="5">
        <v>31.07</v>
      </c>
      <c r="G93" s="5" t="s">
        <v>1176</v>
      </c>
      <c r="H93" s="5" t="s">
        <v>1195</v>
      </c>
    </row>
    <row r="94" spans="1:8" ht="27" x14ac:dyDescent="0.25">
      <c r="A94" s="5" t="str">
        <f t="shared" ref="A94:A99" si="4">"20/07/2025"</f>
        <v>20/07/2025</v>
      </c>
      <c r="B94" s="5" t="s">
        <v>1102</v>
      </c>
      <c r="C94" s="5">
        <v>0</v>
      </c>
      <c r="D94" s="5">
        <v>1</v>
      </c>
      <c r="E94" s="5">
        <v>37</v>
      </c>
      <c r="F94" s="5">
        <v>31.07</v>
      </c>
      <c r="G94" s="5" t="s">
        <v>1176</v>
      </c>
      <c r="H94" s="5" t="s">
        <v>1196</v>
      </c>
    </row>
    <row r="95" spans="1:8" ht="27" x14ac:dyDescent="0.25">
      <c r="A95" s="5" t="str">
        <f t="shared" si="4"/>
        <v>20/07/2025</v>
      </c>
      <c r="B95" s="5" t="s">
        <v>1102</v>
      </c>
      <c r="C95" s="5">
        <v>0</v>
      </c>
      <c r="D95" s="5">
        <v>1</v>
      </c>
      <c r="E95" s="5">
        <v>36</v>
      </c>
      <c r="F95" s="5">
        <v>31.07</v>
      </c>
      <c r="G95" s="5" t="s">
        <v>1176</v>
      </c>
      <c r="H95" s="5" t="s">
        <v>1196</v>
      </c>
    </row>
    <row r="96" spans="1:8" ht="27" x14ac:dyDescent="0.25">
      <c r="A96" s="5" t="str">
        <f t="shared" si="4"/>
        <v>20/07/2025</v>
      </c>
      <c r="B96" s="5" t="s">
        <v>1102</v>
      </c>
      <c r="C96" s="5">
        <v>0</v>
      </c>
      <c r="D96" s="5">
        <v>1</v>
      </c>
      <c r="E96" s="5">
        <v>35</v>
      </c>
      <c r="F96" s="5">
        <v>31.07</v>
      </c>
      <c r="G96" s="5" t="s">
        <v>1141</v>
      </c>
      <c r="H96" s="5" t="s">
        <v>1197</v>
      </c>
    </row>
    <row r="97" spans="1:8" ht="27" x14ac:dyDescent="0.25">
      <c r="A97" s="5" t="str">
        <f t="shared" si="4"/>
        <v>20/07/2025</v>
      </c>
      <c r="B97" s="5" t="s">
        <v>1102</v>
      </c>
      <c r="C97" s="5">
        <v>0</v>
      </c>
      <c r="D97" s="5">
        <v>1</v>
      </c>
      <c r="E97" s="5">
        <v>34</v>
      </c>
      <c r="F97" s="5">
        <v>31.07</v>
      </c>
      <c r="G97" s="5" t="s">
        <v>1141</v>
      </c>
      <c r="H97" s="5" t="s">
        <v>1197</v>
      </c>
    </row>
    <row r="98" spans="1:8" ht="27" x14ac:dyDescent="0.25">
      <c r="A98" s="5" t="str">
        <f t="shared" si="4"/>
        <v>20/07/2025</v>
      </c>
      <c r="B98" s="5" t="s">
        <v>1102</v>
      </c>
      <c r="C98" s="5">
        <v>0</v>
      </c>
      <c r="D98" s="5">
        <v>1</v>
      </c>
      <c r="E98" s="5">
        <v>33</v>
      </c>
      <c r="F98" s="5">
        <v>31.07</v>
      </c>
      <c r="G98" s="5" t="s">
        <v>1141</v>
      </c>
      <c r="H98" s="5" t="s">
        <v>1197</v>
      </c>
    </row>
    <row r="99" spans="1:8" ht="27" x14ac:dyDescent="0.25">
      <c r="A99" s="5" t="str">
        <f t="shared" si="4"/>
        <v>20/07/2025</v>
      </c>
      <c r="B99" s="5" t="s">
        <v>1102</v>
      </c>
      <c r="C99" s="5">
        <v>0</v>
      </c>
      <c r="D99" s="5">
        <v>1</v>
      </c>
      <c r="E99" s="5">
        <v>32</v>
      </c>
      <c r="F99" s="5">
        <v>31.07</v>
      </c>
      <c r="G99" s="5" t="s">
        <v>1141</v>
      </c>
      <c r="H99" s="5" t="s">
        <v>1198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CDC97-FB5B-4596-A06F-0356116DC7CF}">
  <dimension ref="A1:K82"/>
  <sheetViews>
    <sheetView workbookViewId="0">
      <selection activeCell="G37" sqref="G37"/>
    </sheetView>
  </sheetViews>
  <sheetFormatPr baseColWidth="10" defaultRowHeight="15" x14ac:dyDescent="0.25"/>
  <cols>
    <col min="1" max="1" width="12.7109375" customWidth="1"/>
    <col min="2" max="2" width="28.42578125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41.85546875" bestFit="1" customWidth="1"/>
    <col min="8" max="8" width="30.28515625" bestFit="1" customWidth="1"/>
    <col min="9" max="9" width="13.425781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1199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"6943074121355"</f>
        <v>6943074121355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"P0000000000079"</f>
        <v>P0000000000079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45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26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44</v>
      </c>
      <c r="F10" s="5">
        <v>25.42</v>
      </c>
      <c r="G10" s="5" t="s">
        <v>1103</v>
      </c>
      <c r="H10" s="5" t="s">
        <v>1104</v>
      </c>
    </row>
    <row r="11" spans="1:11" ht="27" x14ac:dyDescent="0.25">
      <c r="A11" s="5" t="str">
        <f>"21/06/2025"</f>
        <v>21/06/2025</v>
      </c>
      <c r="B11" s="5" t="s">
        <v>1108</v>
      </c>
      <c r="C11" s="5">
        <v>0</v>
      </c>
      <c r="D11" s="5">
        <v>1</v>
      </c>
      <c r="E11" s="5">
        <v>43</v>
      </c>
      <c r="F11" s="5">
        <v>25.42</v>
      </c>
      <c r="G11" s="5" t="s">
        <v>1116</v>
      </c>
      <c r="H11" s="5" t="s">
        <v>1109</v>
      </c>
    </row>
    <row r="12" spans="1:11" ht="27" x14ac:dyDescent="0.25">
      <c r="A12" s="5" t="str">
        <f>"22/06/2025"</f>
        <v>22/06/2025</v>
      </c>
      <c r="B12" s="5" t="s">
        <v>1102</v>
      </c>
      <c r="C12" s="5">
        <v>0</v>
      </c>
      <c r="D12" s="5">
        <v>1</v>
      </c>
      <c r="E12" s="5">
        <v>42</v>
      </c>
      <c r="F12" s="5">
        <v>25.42</v>
      </c>
      <c r="G12" s="5" t="s">
        <v>1116</v>
      </c>
      <c r="H12" s="5" t="s">
        <v>1110</v>
      </c>
    </row>
    <row r="13" spans="1:11" ht="27" x14ac:dyDescent="0.25">
      <c r="A13" s="5" t="str">
        <f>"24/06/2025"</f>
        <v>24/06/2025</v>
      </c>
      <c r="B13" s="5" t="s">
        <v>1102</v>
      </c>
      <c r="C13" s="5">
        <v>0</v>
      </c>
      <c r="D13" s="5">
        <v>1</v>
      </c>
      <c r="E13" s="5">
        <v>41</v>
      </c>
      <c r="F13" s="5">
        <v>25.42</v>
      </c>
      <c r="G13" s="5" t="s">
        <v>1116</v>
      </c>
      <c r="H13" s="5" t="s">
        <v>1111</v>
      </c>
    </row>
    <row r="14" spans="1:11" ht="27" x14ac:dyDescent="0.25">
      <c r="A14" s="5" t="str">
        <f>"24/06/2025"</f>
        <v>24/06/2025</v>
      </c>
      <c r="B14" s="5" t="s">
        <v>1102</v>
      </c>
      <c r="C14" s="5">
        <v>0</v>
      </c>
      <c r="D14" s="5">
        <v>1</v>
      </c>
      <c r="E14" s="5">
        <v>40</v>
      </c>
      <c r="F14" s="5">
        <v>25.42</v>
      </c>
      <c r="G14" s="5" t="s">
        <v>1116</v>
      </c>
      <c r="H14" s="5" t="s">
        <v>1113</v>
      </c>
    </row>
    <row r="15" spans="1:11" ht="27" x14ac:dyDescent="0.25">
      <c r="A15" s="5" t="str">
        <f>"24/06/2025"</f>
        <v>24/06/2025</v>
      </c>
      <c r="B15" s="5" t="s">
        <v>1114</v>
      </c>
      <c r="C15" s="5">
        <v>0</v>
      </c>
      <c r="D15" s="5">
        <v>1</v>
      </c>
      <c r="E15" s="5">
        <v>39</v>
      </c>
      <c r="F15" s="5">
        <v>25.42</v>
      </c>
      <c r="G15" s="5" t="s">
        <v>1116</v>
      </c>
      <c r="H15" s="5" t="s">
        <v>1115</v>
      </c>
    </row>
    <row r="16" spans="1:11" ht="27" x14ac:dyDescent="0.25">
      <c r="A16" s="5" t="str">
        <f>"26/06/2025"</f>
        <v>26/06/2025</v>
      </c>
      <c r="B16" s="5" t="s">
        <v>1105</v>
      </c>
      <c r="C16" s="5">
        <v>0</v>
      </c>
      <c r="D16" s="5">
        <v>1</v>
      </c>
      <c r="E16" s="5">
        <v>38</v>
      </c>
      <c r="F16" s="5">
        <v>25.42</v>
      </c>
      <c r="G16" s="5" t="s">
        <v>1116</v>
      </c>
      <c r="H16" s="5" t="s">
        <v>1118</v>
      </c>
    </row>
    <row r="17" spans="1:8" ht="27" x14ac:dyDescent="0.25">
      <c r="A17" s="5" t="str">
        <f>"26/06/2025"</f>
        <v>26/06/2025</v>
      </c>
      <c r="B17" s="5" t="s">
        <v>1105</v>
      </c>
      <c r="C17" s="5">
        <v>0</v>
      </c>
      <c r="D17" s="5">
        <v>1</v>
      </c>
      <c r="E17" s="5">
        <v>37</v>
      </c>
      <c r="F17" s="5">
        <v>25.42</v>
      </c>
      <c r="G17" s="5" t="s">
        <v>1116</v>
      </c>
      <c r="H17" s="5" t="s">
        <v>1119</v>
      </c>
    </row>
    <row r="18" spans="1:8" ht="27" x14ac:dyDescent="0.25">
      <c r="A18" s="5" t="str">
        <f>"26/06/2025"</f>
        <v>26/06/2025</v>
      </c>
      <c r="B18" s="5" t="s">
        <v>1102</v>
      </c>
      <c r="C18" s="5">
        <v>0</v>
      </c>
      <c r="D18" s="5">
        <v>1</v>
      </c>
      <c r="E18" s="5">
        <v>36</v>
      </c>
      <c r="F18" s="5">
        <v>25.42</v>
      </c>
      <c r="G18" s="5" t="s">
        <v>1116</v>
      </c>
      <c r="H18" s="5" t="s">
        <v>1120</v>
      </c>
    </row>
    <row r="19" spans="1:8" ht="27" x14ac:dyDescent="0.25">
      <c r="A19" s="5" t="str">
        <f>"27/06/2025"</f>
        <v>27/06/2025</v>
      </c>
      <c r="B19" s="5" t="s">
        <v>1105</v>
      </c>
      <c r="C19" s="5">
        <v>0</v>
      </c>
      <c r="D19" s="5">
        <v>1</v>
      </c>
      <c r="E19" s="5">
        <v>35</v>
      </c>
      <c r="F19" s="5">
        <v>25.42</v>
      </c>
      <c r="G19" s="5" t="s">
        <v>1116</v>
      </c>
      <c r="H19" s="5" t="s">
        <v>1121</v>
      </c>
    </row>
    <row r="20" spans="1:8" ht="27" x14ac:dyDescent="0.25">
      <c r="A20" s="5" t="str">
        <f>"27/06/2025"</f>
        <v>27/06/2025</v>
      </c>
      <c r="B20" s="5" t="s">
        <v>1105</v>
      </c>
      <c r="C20" s="5">
        <v>0</v>
      </c>
      <c r="D20" s="5">
        <v>1</v>
      </c>
      <c r="E20" s="5">
        <v>34</v>
      </c>
      <c r="F20" s="5">
        <v>25.42</v>
      </c>
      <c r="G20" s="5" t="s">
        <v>1116</v>
      </c>
      <c r="H20" s="5" t="s">
        <v>1122</v>
      </c>
    </row>
    <row r="21" spans="1:8" ht="27" x14ac:dyDescent="0.25">
      <c r="A21" s="5" t="str">
        <f>"27/06/2025"</f>
        <v>27/06/2025</v>
      </c>
      <c r="B21" s="5" t="s">
        <v>1108</v>
      </c>
      <c r="C21" s="5">
        <v>0</v>
      </c>
      <c r="D21" s="5">
        <v>1</v>
      </c>
      <c r="E21" s="5">
        <v>33</v>
      </c>
      <c r="F21" s="5">
        <v>25.42</v>
      </c>
      <c r="G21" s="5" t="s">
        <v>1116</v>
      </c>
      <c r="H21" s="5" t="s">
        <v>1123</v>
      </c>
    </row>
    <row r="22" spans="1:8" ht="27" x14ac:dyDescent="0.25">
      <c r="A22" s="5" t="str">
        <f>"29/06/2025"</f>
        <v>29/06/2025</v>
      </c>
      <c r="B22" s="5" t="s">
        <v>1102</v>
      </c>
      <c r="C22" s="5">
        <v>0</v>
      </c>
      <c r="D22" s="5">
        <v>1</v>
      </c>
      <c r="E22" s="5">
        <v>32</v>
      </c>
      <c r="F22" s="5">
        <v>25.42</v>
      </c>
      <c r="G22" s="5" t="s">
        <v>1116</v>
      </c>
      <c r="H22" s="5" t="s">
        <v>1125</v>
      </c>
    </row>
    <row r="23" spans="1:8" ht="27" x14ac:dyDescent="0.25">
      <c r="A23" s="5" t="str">
        <f>"29/06/2025"</f>
        <v>29/06/2025</v>
      </c>
      <c r="B23" s="5" t="s">
        <v>1102</v>
      </c>
      <c r="C23" s="5">
        <v>0</v>
      </c>
      <c r="D23" s="5">
        <v>1</v>
      </c>
      <c r="E23" s="5">
        <v>31</v>
      </c>
      <c r="F23" s="5">
        <v>25.42</v>
      </c>
      <c r="G23" s="5" t="s">
        <v>1116</v>
      </c>
      <c r="H23" s="5" t="s">
        <v>1126</v>
      </c>
    </row>
    <row r="24" spans="1:8" ht="27" x14ac:dyDescent="0.25">
      <c r="A24" s="5" t="str">
        <f>"29/06/2025"</f>
        <v>29/06/2025</v>
      </c>
      <c r="B24" s="5" t="s">
        <v>1102</v>
      </c>
      <c r="C24" s="5">
        <v>0</v>
      </c>
      <c r="D24" s="5">
        <v>1</v>
      </c>
      <c r="E24" s="5">
        <v>30</v>
      </c>
      <c r="F24" s="5">
        <v>25.42</v>
      </c>
      <c r="G24" s="5" t="s">
        <v>1116</v>
      </c>
      <c r="H24" s="5" t="s">
        <v>1200</v>
      </c>
    </row>
    <row r="25" spans="1:8" ht="27" x14ac:dyDescent="0.25">
      <c r="A25" s="5" t="str">
        <f>"30/06/2025"</f>
        <v>30/06/2025</v>
      </c>
      <c r="B25" s="5" t="s">
        <v>1105</v>
      </c>
      <c r="C25" s="5">
        <v>0</v>
      </c>
      <c r="D25" s="5">
        <v>1</v>
      </c>
      <c r="E25" s="5">
        <v>29</v>
      </c>
      <c r="F25" s="5">
        <v>25.42</v>
      </c>
      <c r="G25" s="5" t="s">
        <v>1116</v>
      </c>
      <c r="H25" s="5" t="s">
        <v>1127</v>
      </c>
    </row>
    <row r="26" spans="1:8" ht="27" x14ac:dyDescent="0.25">
      <c r="A26" s="5" t="str">
        <f>"30/06/2025"</f>
        <v>30/06/2025</v>
      </c>
      <c r="B26" s="5" t="s">
        <v>1108</v>
      </c>
      <c r="C26" s="5">
        <v>0</v>
      </c>
      <c r="D26" s="5">
        <v>1</v>
      </c>
      <c r="E26" s="5">
        <v>28</v>
      </c>
      <c r="F26" s="5">
        <v>25.42</v>
      </c>
      <c r="G26" s="5" t="s">
        <v>1116</v>
      </c>
      <c r="H26" s="5" t="s">
        <v>1128</v>
      </c>
    </row>
    <row r="27" spans="1:8" ht="27" x14ac:dyDescent="0.25">
      <c r="A27" s="5" t="str">
        <f>"01/07/2025"</f>
        <v>01/07/2025</v>
      </c>
      <c r="B27" s="5" t="s">
        <v>1105</v>
      </c>
      <c r="C27" s="5">
        <v>0</v>
      </c>
      <c r="D27" s="5">
        <v>1</v>
      </c>
      <c r="E27" s="5">
        <v>27</v>
      </c>
      <c r="F27" s="5">
        <v>25.42</v>
      </c>
      <c r="G27" s="5" t="s">
        <v>1116</v>
      </c>
      <c r="H27" s="5" t="s">
        <v>1132</v>
      </c>
    </row>
    <row r="28" spans="1:8" ht="27" x14ac:dyDescent="0.25">
      <c r="A28" s="5" t="str">
        <f>"01/07/2025"</f>
        <v>01/07/2025</v>
      </c>
      <c r="B28" s="5" t="s">
        <v>1105</v>
      </c>
      <c r="C28" s="5">
        <v>0</v>
      </c>
      <c r="D28" s="5">
        <v>1</v>
      </c>
      <c r="E28" s="5">
        <v>26</v>
      </c>
      <c r="F28" s="5">
        <v>25.42</v>
      </c>
      <c r="G28" s="5" t="s">
        <v>1116</v>
      </c>
      <c r="H28" s="5" t="s">
        <v>1133</v>
      </c>
    </row>
    <row r="29" spans="1:8" ht="27" x14ac:dyDescent="0.25">
      <c r="A29" s="5" t="str">
        <f>"01/07/2025"</f>
        <v>01/07/2025</v>
      </c>
      <c r="B29" s="5" t="s">
        <v>1105</v>
      </c>
      <c r="C29" s="5">
        <v>0</v>
      </c>
      <c r="D29" s="5">
        <v>1</v>
      </c>
      <c r="E29" s="5">
        <v>25</v>
      </c>
      <c r="F29" s="5">
        <v>25.42</v>
      </c>
      <c r="G29" s="5" t="s">
        <v>1116</v>
      </c>
      <c r="H29" s="5" t="s">
        <v>1134</v>
      </c>
    </row>
    <row r="30" spans="1:8" ht="27" x14ac:dyDescent="0.25">
      <c r="A30" s="5" t="str">
        <f>"01/07/2025"</f>
        <v>01/07/2025</v>
      </c>
      <c r="B30" s="5" t="s">
        <v>1105</v>
      </c>
      <c r="C30" s="5">
        <v>0</v>
      </c>
      <c r="D30" s="5">
        <v>1</v>
      </c>
      <c r="E30" s="5">
        <v>24</v>
      </c>
      <c r="F30" s="5">
        <v>25.42</v>
      </c>
      <c r="G30" s="5" t="s">
        <v>1116</v>
      </c>
      <c r="H30" s="5" t="s">
        <v>1135</v>
      </c>
    </row>
    <row r="31" spans="1:8" ht="27" x14ac:dyDescent="0.25">
      <c r="A31" s="5" t="str">
        <f>"01/07/2025"</f>
        <v>01/07/2025</v>
      </c>
      <c r="B31" s="5" t="s">
        <v>1105</v>
      </c>
      <c r="C31" s="5">
        <v>0</v>
      </c>
      <c r="D31" s="5">
        <v>1</v>
      </c>
      <c r="E31" s="5">
        <v>23</v>
      </c>
      <c r="F31" s="5">
        <v>25.42</v>
      </c>
      <c r="G31" s="5" t="s">
        <v>1106</v>
      </c>
      <c r="H31" s="5" t="s">
        <v>1136</v>
      </c>
    </row>
    <row r="32" spans="1:8" ht="27" x14ac:dyDescent="0.25">
      <c r="A32" s="5" t="str">
        <f>"02/07/2025"</f>
        <v>02/07/2025</v>
      </c>
      <c r="B32" s="5" t="s">
        <v>1108</v>
      </c>
      <c r="C32" s="5">
        <v>0</v>
      </c>
      <c r="D32" s="5">
        <v>1</v>
      </c>
      <c r="E32" s="5">
        <v>22</v>
      </c>
      <c r="F32" s="5">
        <v>25.42</v>
      </c>
      <c r="G32" s="5" t="s">
        <v>1106</v>
      </c>
      <c r="H32" s="5" t="s">
        <v>1137</v>
      </c>
    </row>
    <row r="33" spans="1:8" ht="27" x14ac:dyDescent="0.25">
      <c r="A33" s="5" t="str">
        <f>"02/07/2025"</f>
        <v>02/07/2025</v>
      </c>
      <c r="B33" s="5" t="s">
        <v>1108</v>
      </c>
      <c r="C33" s="5">
        <v>0</v>
      </c>
      <c r="D33" s="5">
        <v>1</v>
      </c>
      <c r="E33" s="5">
        <v>21</v>
      </c>
      <c r="F33" s="5">
        <v>25.42</v>
      </c>
      <c r="G33" s="5" t="s">
        <v>1106</v>
      </c>
      <c r="H33" s="5" t="s">
        <v>1138</v>
      </c>
    </row>
    <row r="34" spans="1:8" ht="27" x14ac:dyDescent="0.25">
      <c r="A34" s="5" t="str">
        <f>"02/07/2025"</f>
        <v>02/07/2025</v>
      </c>
      <c r="B34" s="5" t="s">
        <v>1108</v>
      </c>
      <c r="C34" s="5">
        <v>0</v>
      </c>
      <c r="D34" s="5">
        <v>1</v>
      </c>
      <c r="E34" s="5">
        <v>20</v>
      </c>
      <c r="F34" s="5">
        <v>25.42</v>
      </c>
      <c r="G34" s="5" t="s">
        <v>1106</v>
      </c>
      <c r="H34" s="5" t="s">
        <v>1139</v>
      </c>
    </row>
    <row r="35" spans="1:8" ht="27" x14ac:dyDescent="0.25">
      <c r="A35" s="5" t="str">
        <f>"02/07/2025"</f>
        <v>02/07/2025</v>
      </c>
      <c r="B35" s="5" t="s">
        <v>1105</v>
      </c>
      <c r="C35" s="5">
        <v>0</v>
      </c>
      <c r="D35" s="5">
        <v>1</v>
      </c>
      <c r="E35" s="5">
        <v>19</v>
      </c>
      <c r="F35" s="5">
        <v>25.42</v>
      </c>
      <c r="G35" s="5" t="s">
        <v>1106</v>
      </c>
      <c r="H35" s="5" t="s">
        <v>1201</v>
      </c>
    </row>
    <row r="36" spans="1:8" ht="27" x14ac:dyDescent="0.25">
      <c r="A36" s="5" t="str">
        <f>"02/07/2025"</f>
        <v>02/07/2025</v>
      </c>
      <c r="B36" s="5" t="s">
        <v>1114</v>
      </c>
      <c r="C36" s="5">
        <v>24</v>
      </c>
      <c r="D36" s="5">
        <v>0</v>
      </c>
      <c r="E36" s="5">
        <v>43</v>
      </c>
      <c r="F36" s="5">
        <v>25.42</v>
      </c>
      <c r="G36" s="5" t="s">
        <v>1141</v>
      </c>
      <c r="H36" s="6"/>
    </row>
    <row r="37" spans="1:8" ht="27" x14ac:dyDescent="0.25">
      <c r="A37" s="5" t="str">
        <f>"03/07/2025"</f>
        <v>03/07/2025</v>
      </c>
      <c r="B37" s="5" t="s">
        <v>1105</v>
      </c>
      <c r="C37" s="5">
        <v>0</v>
      </c>
      <c r="D37" s="5">
        <v>1</v>
      </c>
      <c r="E37" s="5">
        <v>42</v>
      </c>
      <c r="F37" s="5">
        <v>25.42</v>
      </c>
      <c r="G37" s="5" t="s">
        <v>1106</v>
      </c>
      <c r="H37" s="5" t="s">
        <v>1142</v>
      </c>
    </row>
    <row r="38" spans="1:8" ht="27" x14ac:dyDescent="0.25">
      <c r="A38" s="5" t="str">
        <f>"03/07/2025"</f>
        <v>03/07/2025</v>
      </c>
      <c r="B38" s="5" t="s">
        <v>1102</v>
      </c>
      <c r="C38" s="5">
        <v>0</v>
      </c>
      <c r="D38" s="5">
        <v>1</v>
      </c>
      <c r="E38" s="5">
        <v>41</v>
      </c>
      <c r="F38" s="5">
        <v>25.42</v>
      </c>
      <c r="G38" s="5" t="s">
        <v>1106</v>
      </c>
      <c r="H38" s="5" t="s">
        <v>1144</v>
      </c>
    </row>
    <row r="39" spans="1:8" ht="27" x14ac:dyDescent="0.25">
      <c r="A39" s="5" t="str">
        <f>"03/07/2025"</f>
        <v>03/07/2025</v>
      </c>
      <c r="B39" s="5" t="s">
        <v>1114</v>
      </c>
      <c r="C39" s="5">
        <v>0</v>
      </c>
      <c r="D39" s="5">
        <v>1</v>
      </c>
      <c r="E39" s="5">
        <v>40</v>
      </c>
      <c r="F39" s="5">
        <v>25.42</v>
      </c>
      <c r="G39" s="5" t="s">
        <v>1106</v>
      </c>
      <c r="H39" s="5" t="s">
        <v>1202</v>
      </c>
    </row>
    <row r="40" spans="1:8" ht="27" x14ac:dyDescent="0.25">
      <c r="A40" s="5" t="str">
        <f>"04/07/2025"</f>
        <v>04/07/2025</v>
      </c>
      <c r="B40" s="5" t="s">
        <v>1108</v>
      </c>
      <c r="C40" s="5">
        <v>0</v>
      </c>
      <c r="D40" s="5">
        <v>1</v>
      </c>
      <c r="E40" s="5">
        <v>39</v>
      </c>
      <c r="F40" s="5">
        <v>25.42</v>
      </c>
      <c r="G40" s="5" t="s">
        <v>1106</v>
      </c>
      <c r="H40" s="5" t="s">
        <v>1146</v>
      </c>
    </row>
    <row r="41" spans="1:8" ht="27" x14ac:dyDescent="0.25">
      <c r="A41" s="5" t="str">
        <f>"05/07/2025"</f>
        <v>05/07/2025</v>
      </c>
      <c r="B41" s="5" t="s">
        <v>1102</v>
      </c>
      <c r="C41" s="5">
        <v>0</v>
      </c>
      <c r="D41" s="5">
        <v>1</v>
      </c>
      <c r="E41" s="5">
        <v>38</v>
      </c>
      <c r="F41" s="5">
        <v>25.42</v>
      </c>
      <c r="G41" s="5" t="s">
        <v>1106</v>
      </c>
      <c r="H41" s="5" t="s">
        <v>1148</v>
      </c>
    </row>
    <row r="42" spans="1:8" ht="27" x14ac:dyDescent="0.25">
      <c r="A42" s="5" t="str">
        <f>"05/07/2025"</f>
        <v>05/07/2025</v>
      </c>
      <c r="B42" s="5" t="s">
        <v>1105</v>
      </c>
      <c r="C42" s="5">
        <v>0</v>
      </c>
      <c r="D42" s="5">
        <v>1</v>
      </c>
      <c r="E42" s="5">
        <v>37</v>
      </c>
      <c r="F42" s="5">
        <v>25.42</v>
      </c>
      <c r="G42" s="5" t="s">
        <v>1106</v>
      </c>
      <c r="H42" s="5" t="s">
        <v>1149</v>
      </c>
    </row>
    <row r="43" spans="1:8" ht="27" x14ac:dyDescent="0.25">
      <c r="A43" s="5" t="str">
        <f>"05/07/2025"</f>
        <v>05/07/2025</v>
      </c>
      <c r="B43" s="5" t="s">
        <v>1102</v>
      </c>
      <c r="C43" s="5">
        <v>0</v>
      </c>
      <c r="D43" s="5">
        <v>1</v>
      </c>
      <c r="E43" s="5">
        <v>36</v>
      </c>
      <c r="F43" s="5">
        <v>25.42</v>
      </c>
      <c r="G43" s="5" t="s">
        <v>1106</v>
      </c>
      <c r="H43" s="5" t="s">
        <v>1150</v>
      </c>
    </row>
    <row r="44" spans="1:8" ht="27" x14ac:dyDescent="0.25">
      <c r="A44" s="5" t="str">
        <f>"05/07/2025"</f>
        <v>05/07/2025</v>
      </c>
      <c r="B44" s="5" t="s">
        <v>1102</v>
      </c>
      <c r="C44" s="5">
        <v>0</v>
      </c>
      <c r="D44" s="5">
        <v>1</v>
      </c>
      <c r="E44" s="5">
        <v>35</v>
      </c>
      <c r="F44" s="5">
        <v>25.42</v>
      </c>
      <c r="G44" s="5" t="s">
        <v>1106</v>
      </c>
      <c r="H44" s="5" t="s">
        <v>1151</v>
      </c>
    </row>
    <row r="45" spans="1:8" ht="27" x14ac:dyDescent="0.25">
      <c r="A45" s="5" t="str">
        <f>"05/07/2025"</f>
        <v>05/07/2025</v>
      </c>
      <c r="B45" s="5" t="s">
        <v>1102</v>
      </c>
      <c r="C45" s="5">
        <v>0</v>
      </c>
      <c r="D45" s="5">
        <v>1</v>
      </c>
      <c r="E45" s="5">
        <v>34</v>
      </c>
      <c r="F45" s="5">
        <v>25.42</v>
      </c>
      <c r="G45" s="5" t="s">
        <v>1106</v>
      </c>
      <c r="H45" s="5" t="s">
        <v>1152</v>
      </c>
    </row>
    <row r="46" spans="1:8" ht="27" x14ac:dyDescent="0.25">
      <c r="A46" s="5" t="str">
        <f>"06/07/2025"</f>
        <v>06/07/2025</v>
      </c>
      <c r="B46" s="5" t="s">
        <v>1102</v>
      </c>
      <c r="C46" s="5">
        <v>0</v>
      </c>
      <c r="D46" s="5">
        <v>1</v>
      </c>
      <c r="E46" s="5">
        <v>33</v>
      </c>
      <c r="F46" s="5">
        <v>25.42</v>
      </c>
      <c r="G46" s="5" t="s">
        <v>1106</v>
      </c>
      <c r="H46" s="5" t="s">
        <v>1153</v>
      </c>
    </row>
    <row r="47" spans="1:8" ht="27" x14ac:dyDescent="0.25">
      <c r="A47" s="5" t="str">
        <f>"06/07/2025"</f>
        <v>06/07/2025</v>
      </c>
      <c r="B47" s="5" t="s">
        <v>1102</v>
      </c>
      <c r="C47" s="5">
        <v>0</v>
      </c>
      <c r="D47" s="5">
        <v>1</v>
      </c>
      <c r="E47" s="5">
        <v>32</v>
      </c>
      <c r="F47" s="5">
        <v>25.42</v>
      </c>
      <c r="G47" s="5" t="s">
        <v>1106</v>
      </c>
      <c r="H47" s="5" t="s">
        <v>1154</v>
      </c>
    </row>
    <row r="48" spans="1:8" ht="27" x14ac:dyDescent="0.25">
      <c r="A48" s="5" t="str">
        <f t="shared" ref="A48:A53" si="0">"07/07/2025"</f>
        <v>07/07/2025</v>
      </c>
      <c r="B48" s="5" t="s">
        <v>1105</v>
      </c>
      <c r="C48" s="5">
        <v>0</v>
      </c>
      <c r="D48" s="5">
        <v>1</v>
      </c>
      <c r="E48" s="5">
        <v>31</v>
      </c>
      <c r="F48" s="5">
        <v>25.42</v>
      </c>
      <c r="G48" s="5" t="s">
        <v>1106</v>
      </c>
      <c r="H48" s="5" t="s">
        <v>1155</v>
      </c>
    </row>
    <row r="49" spans="1:8" ht="27" x14ac:dyDescent="0.25">
      <c r="A49" s="5" t="str">
        <f t="shared" si="0"/>
        <v>07/07/2025</v>
      </c>
      <c r="B49" s="5" t="s">
        <v>1102</v>
      </c>
      <c r="C49" s="5">
        <v>0</v>
      </c>
      <c r="D49" s="5">
        <v>1</v>
      </c>
      <c r="E49" s="5">
        <v>30</v>
      </c>
      <c r="F49" s="5">
        <v>25.42</v>
      </c>
      <c r="G49" s="5" t="s">
        <v>1106</v>
      </c>
      <c r="H49" s="5" t="s">
        <v>1156</v>
      </c>
    </row>
    <row r="50" spans="1:8" ht="27" x14ac:dyDescent="0.25">
      <c r="A50" s="5" t="str">
        <f t="shared" si="0"/>
        <v>07/07/2025</v>
      </c>
      <c r="B50" s="5" t="s">
        <v>1102</v>
      </c>
      <c r="C50" s="5">
        <v>0</v>
      </c>
      <c r="D50" s="5">
        <v>1</v>
      </c>
      <c r="E50" s="5">
        <v>29</v>
      </c>
      <c r="F50" s="5">
        <v>25.42</v>
      </c>
      <c r="G50" s="5" t="s">
        <v>1106</v>
      </c>
      <c r="H50" s="5" t="s">
        <v>1157</v>
      </c>
    </row>
    <row r="51" spans="1:8" ht="27" x14ac:dyDescent="0.25">
      <c r="A51" s="5" t="str">
        <f t="shared" si="0"/>
        <v>07/07/2025</v>
      </c>
      <c r="B51" s="5" t="s">
        <v>1102</v>
      </c>
      <c r="C51" s="5">
        <v>0</v>
      </c>
      <c r="D51" s="5">
        <v>1</v>
      </c>
      <c r="E51" s="5">
        <v>28</v>
      </c>
      <c r="F51" s="5">
        <v>25.42</v>
      </c>
      <c r="G51" s="5" t="s">
        <v>1106</v>
      </c>
      <c r="H51" s="5" t="s">
        <v>1158</v>
      </c>
    </row>
    <row r="52" spans="1:8" ht="27" x14ac:dyDescent="0.25">
      <c r="A52" s="5" t="str">
        <f t="shared" si="0"/>
        <v>07/07/2025</v>
      </c>
      <c r="B52" s="5" t="s">
        <v>1105</v>
      </c>
      <c r="C52" s="5">
        <v>0</v>
      </c>
      <c r="D52" s="5">
        <v>1</v>
      </c>
      <c r="E52" s="5">
        <v>27</v>
      </c>
      <c r="F52" s="5">
        <v>25.42</v>
      </c>
      <c r="G52" s="5" t="s">
        <v>1106</v>
      </c>
      <c r="H52" s="5" t="s">
        <v>1159</v>
      </c>
    </row>
    <row r="53" spans="1:8" ht="27" x14ac:dyDescent="0.25">
      <c r="A53" s="5" t="str">
        <f t="shared" si="0"/>
        <v>07/07/2025</v>
      </c>
      <c r="B53" s="5" t="s">
        <v>1108</v>
      </c>
      <c r="C53" s="5">
        <v>0</v>
      </c>
      <c r="D53" s="5">
        <v>1</v>
      </c>
      <c r="E53" s="5">
        <v>26</v>
      </c>
      <c r="F53" s="5">
        <v>25.42</v>
      </c>
      <c r="G53" s="5" t="s">
        <v>1106</v>
      </c>
      <c r="H53" s="5" t="s">
        <v>1160</v>
      </c>
    </row>
    <row r="54" spans="1:8" ht="27" x14ac:dyDescent="0.25">
      <c r="A54" s="5" t="str">
        <f>"08/07/2025"</f>
        <v>08/07/2025</v>
      </c>
      <c r="B54" s="5" t="s">
        <v>1105</v>
      </c>
      <c r="C54" s="5">
        <v>0</v>
      </c>
      <c r="D54" s="5">
        <v>1</v>
      </c>
      <c r="E54" s="5">
        <v>25</v>
      </c>
      <c r="F54" s="5">
        <v>25.42</v>
      </c>
      <c r="G54" s="5" t="s">
        <v>1106</v>
      </c>
      <c r="H54" s="5" t="s">
        <v>1203</v>
      </c>
    </row>
    <row r="55" spans="1:8" ht="27" x14ac:dyDescent="0.25">
      <c r="A55" s="5" t="str">
        <f>"08/07/2025"</f>
        <v>08/07/2025</v>
      </c>
      <c r="B55" s="5" t="s">
        <v>1102</v>
      </c>
      <c r="C55" s="5">
        <v>0</v>
      </c>
      <c r="D55" s="5">
        <v>1</v>
      </c>
      <c r="E55" s="5">
        <v>24</v>
      </c>
      <c r="F55" s="5">
        <v>25.42</v>
      </c>
      <c r="G55" s="5" t="s">
        <v>1106</v>
      </c>
      <c r="H55" s="5" t="s">
        <v>1162</v>
      </c>
    </row>
    <row r="56" spans="1:8" ht="27" x14ac:dyDescent="0.25">
      <c r="A56" s="5" t="str">
        <f>"09/07/2025"</f>
        <v>09/07/2025</v>
      </c>
      <c r="B56" s="5" t="s">
        <v>1105</v>
      </c>
      <c r="C56" s="5">
        <v>1</v>
      </c>
      <c r="D56" s="5">
        <v>0</v>
      </c>
      <c r="E56" s="5">
        <v>25</v>
      </c>
      <c r="F56" s="5">
        <v>25.42</v>
      </c>
      <c r="G56" s="5" t="s">
        <v>1164</v>
      </c>
      <c r="H56" s="6"/>
    </row>
    <row r="57" spans="1:8" ht="27" x14ac:dyDescent="0.25">
      <c r="A57" s="5" t="str">
        <f>"09/07/2025"</f>
        <v>09/07/2025</v>
      </c>
      <c r="B57" s="5" t="s">
        <v>1102</v>
      </c>
      <c r="C57" s="5">
        <v>1</v>
      </c>
      <c r="D57" s="5">
        <v>0</v>
      </c>
      <c r="E57" s="5">
        <v>26</v>
      </c>
      <c r="F57" s="5">
        <v>25.42</v>
      </c>
      <c r="G57" s="5" t="s">
        <v>1165</v>
      </c>
      <c r="H57" s="6"/>
    </row>
    <row r="58" spans="1:8" ht="27" x14ac:dyDescent="0.25">
      <c r="A58" s="5" t="str">
        <f>"10/07/2025"</f>
        <v>10/07/2025</v>
      </c>
      <c r="B58" s="5" t="s">
        <v>1114</v>
      </c>
      <c r="C58" s="5">
        <v>0</v>
      </c>
      <c r="D58" s="5">
        <v>1</v>
      </c>
      <c r="E58" s="5">
        <v>25</v>
      </c>
      <c r="F58" s="5">
        <v>25.42</v>
      </c>
      <c r="G58" s="5" t="s">
        <v>1164</v>
      </c>
      <c r="H58" s="5" t="s">
        <v>1166</v>
      </c>
    </row>
    <row r="59" spans="1:8" ht="27" x14ac:dyDescent="0.25">
      <c r="A59" s="5" t="str">
        <f>"10/07/2025"</f>
        <v>10/07/2025</v>
      </c>
      <c r="B59" s="5" t="s">
        <v>1129</v>
      </c>
      <c r="C59" s="5">
        <v>0</v>
      </c>
      <c r="D59" s="5">
        <v>1</v>
      </c>
      <c r="E59" s="5">
        <v>24</v>
      </c>
      <c r="F59" s="5">
        <v>25.42</v>
      </c>
      <c r="G59" s="5" t="s">
        <v>1165</v>
      </c>
      <c r="H59" s="5" t="s">
        <v>1167</v>
      </c>
    </row>
    <row r="60" spans="1:8" ht="27" x14ac:dyDescent="0.25">
      <c r="A60" s="5" t="str">
        <f>"11/07/2025"</f>
        <v>11/07/2025</v>
      </c>
      <c r="B60" s="5" t="s">
        <v>1129</v>
      </c>
      <c r="C60" s="5">
        <v>0</v>
      </c>
      <c r="D60" s="5">
        <v>1</v>
      </c>
      <c r="E60" s="5">
        <v>23</v>
      </c>
      <c r="F60" s="5">
        <v>25.42</v>
      </c>
      <c r="G60" s="5" t="s">
        <v>1141</v>
      </c>
      <c r="H60" s="5" t="s">
        <v>1169</v>
      </c>
    </row>
    <row r="61" spans="1:8" ht="27" x14ac:dyDescent="0.25">
      <c r="A61" s="5" t="str">
        <f>"11/07/2025"</f>
        <v>11/07/2025</v>
      </c>
      <c r="B61" s="5" t="s">
        <v>1170</v>
      </c>
      <c r="C61" s="5">
        <v>0</v>
      </c>
      <c r="D61" s="5">
        <v>1</v>
      </c>
      <c r="E61" s="5">
        <v>22</v>
      </c>
      <c r="F61" s="5">
        <v>25.42</v>
      </c>
      <c r="G61" s="5" t="s">
        <v>1141</v>
      </c>
      <c r="H61" s="5" t="s">
        <v>1171</v>
      </c>
    </row>
    <row r="62" spans="1:8" ht="27" x14ac:dyDescent="0.25">
      <c r="A62" s="5" t="str">
        <f>"13/07/2025"</f>
        <v>13/07/2025</v>
      </c>
      <c r="B62" s="5" t="s">
        <v>1102</v>
      </c>
      <c r="C62" s="5">
        <v>0</v>
      </c>
      <c r="D62" s="5">
        <v>1</v>
      </c>
      <c r="E62" s="5">
        <v>21</v>
      </c>
      <c r="F62" s="5">
        <v>25.42</v>
      </c>
      <c r="G62" s="5" t="s">
        <v>1141</v>
      </c>
      <c r="H62" s="5" t="s">
        <v>1173</v>
      </c>
    </row>
    <row r="63" spans="1:8" ht="27" x14ac:dyDescent="0.25">
      <c r="A63" s="5" t="str">
        <f>"14/07/2025"</f>
        <v>14/07/2025</v>
      </c>
      <c r="B63" s="5" t="s">
        <v>1114</v>
      </c>
      <c r="C63" s="5">
        <v>24</v>
      </c>
      <c r="D63" s="5">
        <v>0</v>
      </c>
      <c r="E63" s="5">
        <v>45</v>
      </c>
      <c r="F63" s="5">
        <v>25.42</v>
      </c>
      <c r="G63" s="5" t="s">
        <v>1176</v>
      </c>
      <c r="H63" s="6"/>
    </row>
    <row r="64" spans="1:8" ht="27" x14ac:dyDescent="0.25">
      <c r="A64" s="5" t="str">
        <f>"14/07/2025"</f>
        <v>14/07/2025</v>
      </c>
      <c r="B64" s="5" t="s">
        <v>1114</v>
      </c>
      <c r="C64" s="5">
        <v>0</v>
      </c>
      <c r="D64" s="5">
        <v>1</v>
      </c>
      <c r="E64" s="5">
        <v>44</v>
      </c>
      <c r="F64" s="5">
        <v>25.42</v>
      </c>
      <c r="G64" s="5" t="s">
        <v>1141</v>
      </c>
      <c r="H64" s="5" t="s">
        <v>1177</v>
      </c>
    </row>
    <row r="65" spans="1:8" ht="27" x14ac:dyDescent="0.25">
      <c r="A65" s="5" t="str">
        <f>"14/07/2025"</f>
        <v>14/07/2025</v>
      </c>
      <c r="B65" s="5" t="s">
        <v>1178</v>
      </c>
      <c r="C65" s="5">
        <v>0</v>
      </c>
      <c r="D65" s="5">
        <v>1</v>
      </c>
      <c r="E65" s="5">
        <v>43</v>
      </c>
      <c r="F65" s="5">
        <v>25.42</v>
      </c>
      <c r="G65" s="5" t="s">
        <v>1141</v>
      </c>
      <c r="H65" s="5" t="s">
        <v>1179</v>
      </c>
    </row>
    <row r="66" spans="1:8" ht="27" x14ac:dyDescent="0.25">
      <c r="A66" s="5" t="str">
        <f>"14/07/2025"</f>
        <v>14/07/2025</v>
      </c>
      <c r="B66" s="5" t="s">
        <v>1129</v>
      </c>
      <c r="C66" s="5">
        <v>0</v>
      </c>
      <c r="D66" s="5">
        <v>1</v>
      </c>
      <c r="E66" s="5">
        <v>42</v>
      </c>
      <c r="F66" s="5">
        <v>25.42</v>
      </c>
      <c r="G66" s="5" t="s">
        <v>1141</v>
      </c>
      <c r="H66" s="5" t="s">
        <v>1180</v>
      </c>
    </row>
    <row r="67" spans="1:8" ht="27" x14ac:dyDescent="0.25">
      <c r="A67" s="5" t="str">
        <f>"15/07/2025"</f>
        <v>15/07/2025</v>
      </c>
      <c r="B67" s="5" t="s">
        <v>1129</v>
      </c>
      <c r="C67" s="5">
        <v>0</v>
      </c>
      <c r="D67" s="5">
        <v>1</v>
      </c>
      <c r="E67" s="5">
        <v>41</v>
      </c>
      <c r="F67" s="5">
        <v>25.42</v>
      </c>
      <c r="G67" s="5" t="s">
        <v>1141</v>
      </c>
      <c r="H67" s="5" t="s">
        <v>1181</v>
      </c>
    </row>
    <row r="68" spans="1:8" ht="27" x14ac:dyDescent="0.25">
      <c r="A68" s="5" t="str">
        <f>"15/07/2025"</f>
        <v>15/07/2025</v>
      </c>
      <c r="B68" s="5" t="s">
        <v>1102</v>
      </c>
      <c r="C68" s="5">
        <v>0</v>
      </c>
      <c r="D68" s="5">
        <v>1</v>
      </c>
      <c r="E68" s="5">
        <v>40</v>
      </c>
      <c r="F68" s="5">
        <v>25.42</v>
      </c>
      <c r="G68" s="5" t="s">
        <v>1141</v>
      </c>
      <c r="H68" s="5" t="s">
        <v>1184</v>
      </c>
    </row>
    <row r="69" spans="1:8" ht="27" x14ac:dyDescent="0.25">
      <c r="A69" s="5" t="str">
        <f>"16/07/2025"</f>
        <v>16/07/2025</v>
      </c>
      <c r="B69" s="5" t="s">
        <v>1129</v>
      </c>
      <c r="C69" s="5">
        <v>0</v>
      </c>
      <c r="D69" s="5">
        <v>1</v>
      </c>
      <c r="E69" s="5">
        <v>39</v>
      </c>
      <c r="F69" s="5">
        <v>25.42</v>
      </c>
      <c r="G69" s="5" t="s">
        <v>1141</v>
      </c>
      <c r="H69" s="5" t="s">
        <v>1185</v>
      </c>
    </row>
    <row r="70" spans="1:8" ht="27" x14ac:dyDescent="0.25">
      <c r="A70" s="5" t="str">
        <f>"16/07/2025"</f>
        <v>16/07/2025</v>
      </c>
      <c r="B70" s="5" t="s">
        <v>1114</v>
      </c>
      <c r="C70" s="5">
        <v>0</v>
      </c>
      <c r="D70" s="5">
        <v>1</v>
      </c>
      <c r="E70" s="5">
        <v>38</v>
      </c>
      <c r="F70" s="5">
        <v>25.42</v>
      </c>
      <c r="G70" s="5" t="s">
        <v>1141</v>
      </c>
      <c r="H70" s="5" t="s">
        <v>1186</v>
      </c>
    </row>
    <row r="71" spans="1:8" ht="27" x14ac:dyDescent="0.25">
      <c r="A71" s="5" t="str">
        <f>"16/07/2025"</f>
        <v>16/07/2025</v>
      </c>
      <c r="B71" s="5" t="s">
        <v>1114</v>
      </c>
      <c r="C71" s="5">
        <v>0</v>
      </c>
      <c r="D71" s="5">
        <v>1</v>
      </c>
      <c r="E71" s="5">
        <v>37</v>
      </c>
      <c r="F71" s="5">
        <v>25.42</v>
      </c>
      <c r="G71" s="5" t="s">
        <v>1141</v>
      </c>
      <c r="H71" s="5" t="s">
        <v>1187</v>
      </c>
    </row>
    <row r="72" spans="1:8" ht="27" x14ac:dyDescent="0.25">
      <c r="A72" s="5" t="str">
        <f>"16/07/2025"</f>
        <v>16/07/2025</v>
      </c>
      <c r="B72" s="5" t="s">
        <v>1114</v>
      </c>
      <c r="C72" s="5">
        <v>0</v>
      </c>
      <c r="D72" s="5">
        <v>1</v>
      </c>
      <c r="E72" s="5">
        <v>36</v>
      </c>
      <c r="F72" s="5">
        <v>25.42</v>
      </c>
      <c r="G72" s="5" t="s">
        <v>1141</v>
      </c>
      <c r="H72" s="5" t="s">
        <v>1188</v>
      </c>
    </row>
    <row r="73" spans="1:8" ht="27" x14ac:dyDescent="0.25">
      <c r="A73" s="5" t="str">
        <f>"16/07/2025"</f>
        <v>16/07/2025</v>
      </c>
      <c r="B73" s="5" t="s">
        <v>1114</v>
      </c>
      <c r="C73" s="5">
        <v>0</v>
      </c>
      <c r="D73" s="5">
        <v>1</v>
      </c>
      <c r="E73" s="5">
        <v>35</v>
      </c>
      <c r="F73" s="5">
        <v>25.42</v>
      </c>
      <c r="G73" s="5" t="s">
        <v>1141</v>
      </c>
      <c r="H73" s="5" t="s">
        <v>1190</v>
      </c>
    </row>
    <row r="74" spans="1:8" ht="27" x14ac:dyDescent="0.25">
      <c r="A74" s="5" t="str">
        <f>"17/07/2025"</f>
        <v>17/07/2025</v>
      </c>
      <c r="B74" s="5" t="s">
        <v>1114</v>
      </c>
      <c r="C74" s="5">
        <v>0</v>
      </c>
      <c r="D74" s="5">
        <v>1</v>
      </c>
      <c r="E74" s="5">
        <v>34</v>
      </c>
      <c r="F74" s="5">
        <v>25.42</v>
      </c>
      <c r="G74" s="5" t="s">
        <v>1141</v>
      </c>
      <c r="H74" s="5" t="s">
        <v>1191</v>
      </c>
    </row>
    <row r="75" spans="1:8" ht="27" x14ac:dyDescent="0.25">
      <c r="A75" s="5" t="str">
        <f>"17/07/2025"</f>
        <v>17/07/2025</v>
      </c>
      <c r="B75" s="5" t="s">
        <v>1114</v>
      </c>
      <c r="C75" s="5">
        <v>0</v>
      </c>
      <c r="D75" s="5">
        <v>1</v>
      </c>
      <c r="E75" s="5">
        <v>33</v>
      </c>
      <c r="F75" s="5">
        <v>25.42</v>
      </c>
      <c r="G75" s="5" t="s">
        <v>1141</v>
      </c>
      <c r="H75" s="5" t="s">
        <v>1192</v>
      </c>
    </row>
    <row r="76" spans="1:8" ht="27" x14ac:dyDescent="0.25">
      <c r="A76" s="5" t="str">
        <f>"18/07/2025"</f>
        <v>18/07/2025</v>
      </c>
      <c r="B76" s="5" t="s">
        <v>1114</v>
      </c>
      <c r="C76" s="5">
        <v>0</v>
      </c>
      <c r="D76" s="5">
        <v>1</v>
      </c>
      <c r="E76" s="5">
        <v>32</v>
      </c>
      <c r="F76" s="5">
        <v>25.42</v>
      </c>
      <c r="G76" s="5" t="s">
        <v>1141</v>
      </c>
      <c r="H76" s="5" t="s">
        <v>1193</v>
      </c>
    </row>
    <row r="77" spans="1:8" ht="27" x14ac:dyDescent="0.25">
      <c r="A77" s="5" t="str">
        <f>"18/07/2025"</f>
        <v>18/07/2025</v>
      </c>
      <c r="B77" s="5" t="s">
        <v>1114</v>
      </c>
      <c r="C77" s="5">
        <v>0</v>
      </c>
      <c r="D77" s="5">
        <v>1</v>
      </c>
      <c r="E77" s="5">
        <v>31</v>
      </c>
      <c r="F77" s="5">
        <v>25.42</v>
      </c>
      <c r="G77" s="5" t="s">
        <v>1141</v>
      </c>
      <c r="H77" s="5" t="s">
        <v>1194</v>
      </c>
    </row>
    <row r="78" spans="1:8" ht="27" x14ac:dyDescent="0.25">
      <c r="A78" s="5" t="str">
        <f>"19/07/2025"</f>
        <v>19/07/2025</v>
      </c>
      <c r="B78" s="5" t="s">
        <v>1102</v>
      </c>
      <c r="C78" s="5">
        <v>0</v>
      </c>
      <c r="D78" s="5">
        <v>1</v>
      </c>
      <c r="E78" s="5">
        <v>30</v>
      </c>
      <c r="F78" s="5">
        <v>25.42</v>
      </c>
      <c r="G78" s="5" t="s">
        <v>1141</v>
      </c>
      <c r="H78" s="5" t="s">
        <v>1195</v>
      </c>
    </row>
    <row r="79" spans="1:8" ht="27" x14ac:dyDescent="0.25">
      <c r="A79" s="5" t="str">
        <f>"20/07/2025"</f>
        <v>20/07/2025</v>
      </c>
      <c r="B79" s="5" t="s">
        <v>1102</v>
      </c>
      <c r="C79" s="5">
        <v>0</v>
      </c>
      <c r="D79" s="5">
        <v>1</v>
      </c>
      <c r="E79" s="5">
        <v>29</v>
      </c>
      <c r="F79" s="5">
        <v>25.42</v>
      </c>
      <c r="G79" s="5" t="s">
        <v>1141</v>
      </c>
      <c r="H79" s="5" t="s">
        <v>1196</v>
      </c>
    </row>
    <row r="80" spans="1:8" ht="27" x14ac:dyDescent="0.25">
      <c r="A80" s="5" t="str">
        <f>"20/07/2025"</f>
        <v>20/07/2025</v>
      </c>
      <c r="B80" s="5" t="s">
        <v>1102</v>
      </c>
      <c r="C80" s="5">
        <v>0</v>
      </c>
      <c r="D80" s="5">
        <v>1</v>
      </c>
      <c r="E80" s="5">
        <v>28</v>
      </c>
      <c r="F80" s="5">
        <v>25.42</v>
      </c>
      <c r="G80" s="5" t="s">
        <v>1141</v>
      </c>
      <c r="H80" s="5" t="s">
        <v>1197</v>
      </c>
    </row>
    <row r="81" spans="1:8" ht="27" x14ac:dyDescent="0.25">
      <c r="A81" s="5" t="str">
        <f>"20/07/2025"</f>
        <v>20/07/2025</v>
      </c>
      <c r="B81" s="5" t="s">
        <v>1102</v>
      </c>
      <c r="C81" s="5">
        <v>0</v>
      </c>
      <c r="D81" s="5">
        <v>1</v>
      </c>
      <c r="E81" s="5">
        <v>27</v>
      </c>
      <c r="F81" s="5">
        <v>25.42</v>
      </c>
      <c r="G81" s="5" t="s">
        <v>1141</v>
      </c>
      <c r="H81" s="5" t="s">
        <v>1197</v>
      </c>
    </row>
    <row r="82" spans="1:8" ht="27" x14ac:dyDescent="0.25">
      <c r="A82" s="5" t="str">
        <f>"20/07/2025"</f>
        <v>20/07/2025</v>
      </c>
      <c r="B82" s="5" t="s">
        <v>1102</v>
      </c>
      <c r="C82" s="5">
        <v>0</v>
      </c>
      <c r="D82" s="5">
        <v>1</v>
      </c>
      <c r="E82" s="5">
        <v>26</v>
      </c>
      <c r="F82" s="5">
        <v>25.42</v>
      </c>
      <c r="G82" s="5" t="s">
        <v>1141</v>
      </c>
      <c r="H82" s="5" t="s">
        <v>1198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A55AF-147A-48B5-9AC2-03334DA8CFCE}">
  <dimension ref="A1:K52"/>
  <sheetViews>
    <sheetView workbookViewId="0">
      <selection activeCell="C6" sqref="C6:I6"/>
    </sheetView>
  </sheetViews>
  <sheetFormatPr baseColWidth="10" defaultRowHeight="15" x14ac:dyDescent="0.25"/>
  <cols>
    <col min="1" max="1" width="12" customWidth="1"/>
    <col min="2" max="2" width="34.85546875" customWidth="1"/>
    <col min="3" max="3" width="8.28515625" customWidth="1"/>
    <col min="4" max="4" width="7" customWidth="1"/>
    <col min="5" max="5" width="6.42578125" customWidth="1"/>
    <col min="6" max="6" width="19.42578125" customWidth="1"/>
    <col min="7" max="7" width="25.140625" customWidth="1"/>
    <col min="8" max="8" width="21.28515625" customWidth="1"/>
    <col min="9" max="9" width="16.42578125" customWidth="1"/>
    <col min="10" max="10" width="17.140625" customWidth="1"/>
    <col min="11" max="11" width="23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1204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"6943074126333"</f>
        <v>6943074126333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"P0000000000081"</f>
        <v>P0000000000081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51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8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50</v>
      </c>
      <c r="F10" s="5">
        <v>25.42</v>
      </c>
      <c r="G10" s="5" t="s">
        <v>1205</v>
      </c>
      <c r="H10" s="5" t="s">
        <v>1104</v>
      </c>
    </row>
    <row r="11" spans="1:11" ht="27" x14ac:dyDescent="0.25">
      <c r="A11" s="5" t="str">
        <f>"21/06/2025"</f>
        <v>21/06/2025</v>
      </c>
      <c r="B11" s="5" t="s">
        <v>1108</v>
      </c>
      <c r="C11" s="5">
        <v>0</v>
      </c>
      <c r="D11" s="5">
        <v>1</v>
      </c>
      <c r="E11" s="5">
        <v>49</v>
      </c>
      <c r="F11" s="5">
        <v>25.42</v>
      </c>
      <c r="G11" s="5" t="s">
        <v>1205</v>
      </c>
      <c r="H11" s="5" t="s">
        <v>1109</v>
      </c>
    </row>
    <row r="12" spans="1:11" ht="27" x14ac:dyDescent="0.25">
      <c r="A12" s="5" t="str">
        <f>"22/06/2025"</f>
        <v>22/06/2025</v>
      </c>
      <c r="B12" s="5" t="s">
        <v>1102</v>
      </c>
      <c r="C12" s="5">
        <v>0</v>
      </c>
      <c r="D12" s="5">
        <v>1</v>
      </c>
      <c r="E12" s="5">
        <v>48</v>
      </c>
      <c r="F12" s="5">
        <v>25.42</v>
      </c>
      <c r="G12" s="5" t="s">
        <v>1205</v>
      </c>
      <c r="H12" s="5" t="s">
        <v>1110</v>
      </c>
    </row>
    <row r="13" spans="1:11" ht="27" x14ac:dyDescent="0.25">
      <c r="A13" s="5" t="str">
        <f>"24/06/2025"</f>
        <v>24/06/2025</v>
      </c>
      <c r="B13" s="5" t="s">
        <v>1114</v>
      </c>
      <c r="C13" s="5">
        <v>0</v>
      </c>
      <c r="D13" s="5">
        <v>1</v>
      </c>
      <c r="E13" s="5">
        <v>47</v>
      </c>
      <c r="F13" s="5">
        <v>25.42</v>
      </c>
      <c r="G13" s="5" t="s">
        <v>1205</v>
      </c>
      <c r="H13" s="5" t="s">
        <v>1115</v>
      </c>
    </row>
    <row r="14" spans="1:11" ht="27" x14ac:dyDescent="0.25">
      <c r="A14" s="5" t="str">
        <f>"26/06/2025"</f>
        <v>26/06/2025</v>
      </c>
      <c r="B14" s="5" t="s">
        <v>1102</v>
      </c>
      <c r="C14" s="5">
        <v>0</v>
      </c>
      <c r="D14" s="5">
        <v>1</v>
      </c>
      <c r="E14" s="5">
        <v>46</v>
      </c>
      <c r="F14" s="5">
        <v>25.42</v>
      </c>
      <c r="G14" s="5" t="s">
        <v>1205</v>
      </c>
      <c r="H14" s="5" t="s">
        <v>1120</v>
      </c>
    </row>
    <row r="15" spans="1:11" ht="27" x14ac:dyDescent="0.25">
      <c r="A15" s="5" t="str">
        <f>"27/06/2025"</f>
        <v>27/06/2025</v>
      </c>
      <c r="B15" s="5" t="s">
        <v>1105</v>
      </c>
      <c r="C15" s="5">
        <v>0</v>
      </c>
      <c r="D15" s="5">
        <v>1</v>
      </c>
      <c r="E15" s="5">
        <v>45</v>
      </c>
      <c r="F15" s="5">
        <v>25.42</v>
      </c>
      <c r="G15" s="5" t="s">
        <v>1205</v>
      </c>
      <c r="H15" s="5" t="s">
        <v>1122</v>
      </c>
    </row>
    <row r="16" spans="1:11" ht="27" x14ac:dyDescent="0.25">
      <c r="A16" s="5" t="str">
        <f>"27/06/2025"</f>
        <v>27/06/2025</v>
      </c>
      <c r="B16" s="5" t="s">
        <v>1108</v>
      </c>
      <c r="C16" s="5">
        <v>0</v>
      </c>
      <c r="D16" s="5">
        <v>1</v>
      </c>
      <c r="E16" s="5">
        <v>44</v>
      </c>
      <c r="F16" s="5">
        <v>25.42</v>
      </c>
      <c r="G16" s="5" t="s">
        <v>1205</v>
      </c>
      <c r="H16" s="5" t="s">
        <v>1123</v>
      </c>
    </row>
    <row r="17" spans="1:8" ht="27" x14ac:dyDescent="0.25">
      <c r="A17" s="5" t="str">
        <f>"28/06/2025"</f>
        <v>28/06/2025</v>
      </c>
      <c r="B17" s="5" t="s">
        <v>1105</v>
      </c>
      <c r="C17" s="5">
        <v>0</v>
      </c>
      <c r="D17" s="5">
        <v>1</v>
      </c>
      <c r="E17" s="5">
        <v>43</v>
      </c>
      <c r="F17" s="5">
        <v>25.42</v>
      </c>
      <c r="G17" s="5" t="s">
        <v>1205</v>
      </c>
      <c r="H17" s="5" t="s">
        <v>1124</v>
      </c>
    </row>
    <row r="18" spans="1:8" ht="27" x14ac:dyDescent="0.25">
      <c r="A18" s="5" t="str">
        <f>"29/06/2025"</f>
        <v>29/06/2025</v>
      </c>
      <c r="B18" s="5" t="s">
        <v>1102</v>
      </c>
      <c r="C18" s="5">
        <v>0</v>
      </c>
      <c r="D18" s="5">
        <v>1</v>
      </c>
      <c r="E18" s="5">
        <v>42</v>
      </c>
      <c r="F18" s="5">
        <v>25.42</v>
      </c>
      <c r="G18" s="5" t="s">
        <v>1205</v>
      </c>
      <c r="H18" s="5" t="s">
        <v>1126</v>
      </c>
    </row>
    <row r="19" spans="1:8" ht="27" x14ac:dyDescent="0.25">
      <c r="A19" s="5" t="str">
        <f>"29/06/2025"</f>
        <v>29/06/2025</v>
      </c>
      <c r="B19" s="5" t="s">
        <v>1102</v>
      </c>
      <c r="C19" s="5">
        <v>0</v>
      </c>
      <c r="D19" s="5">
        <v>1</v>
      </c>
      <c r="E19" s="5">
        <v>41</v>
      </c>
      <c r="F19" s="5">
        <v>25.42</v>
      </c>
      <c r="G19" s="5" t="s">
        <v>1205</v>
      </c>
      <c r="H19" s="5" t="s">
        <v>1200</v>
      </c>
    </row>
    <row r="20" spans="1:8" ht="27" x14ac:dyDescent="0.25">
      <c r="A20" s="5" t="str">
        <f>"30/06/2025"</f>
        <v>30/06/2025</v>
      </c>
      <c r="B20" s="5" t="s">
        <v>1108</v>
      </c>
      <c r="C20" s="5">
        <v>0</v>
      </c>
      <c r="D20" s="5">
        <v>1</v>
      </c>
      <c r="E20" s="5">
        <v>40</v>
      </c>
      <c r="F20" s="5">
        <v>25.42</v>
      </c>
      <c r="G20" s="5" t="s">
        <v>1205</v>
      </c>
      <c r="H20" s="5" t="s">
        <v>1128</v>
      </c>
    </row>
    <row r="21" spans="1:8" ht="27" x14ac:dyDescent="0.25">
      <c r="A21" s="5" t="str">
        <f t="shared" ref="A21:A26" si="0">"01/07/2025"</f>
        <v>01/07/2025</v>
      </c>
      <c r="B21" s="5" t="s">
        <v>1105</v>
      </c>
      <c r="C21" s="5">
        <v>0</v>
      </c>
      <c r="D21" s="5">
        <v>1</v>
      </c>
      <c r="E21" s="5">
        <v>39</v>
      </c>
      <c r="F21" s="5">
        <v>25.42</v>
      </c>
      <c r="G21" s="5" t="s">
        <v>1205</v>
      </c>
      <c r="H21" s="5" t="s">
        <v>1131</v>
      </c>
    </row>
    <row r="22" spans="1:8" ht="27" x14ac:dyDescent="0.25">
      <c r="A22" s="5" t="str">
        <f t="shared" si="0"/>
        <v>01/07/2025</v>
      </c>
      <c r="B22" s="5" t="s">
        <v>1105</v>
      </c>
      <c r="C22" s="5">
        <v>0</v>
      </c>
      <c r="D22" s="5">
        <v>1</v>
      </c>
      <c r="E22" s="5">
        <v>38</v>
      </c>
      <c r="F22" s="5">
        <v>25.42</v>
      </c>
      <c r="G22" s="5" t="s">
        <v>1205</v>
      </c>
      <c r="H22" s="5" t="s">
        <v>1132</v>
      </c>
    </row>
    <row r="23" spans="1:8" ht="27" x14ac:dyDescent="0.25">
      <c r="A23" s="5" t="str">
        <f t="shared" si="0"/>
        <v>01/07/2025</v>
      </c>
      <c r="B23" s="5" t="s">
        <v>1105</v>
      </c>
      <c r="C23" s="5">
        <v>0</v>
      </c>
      <c r="D23" s="5">
        <v>1</v>
      </c>
      <c r="E23" s="5">
        <v>37</v>
      </c>
      <c r="F23" s="5">
        <v>25.42</v>
      </c>
      <c r="G23" s="5" t="s">
        <v>1205</v>
      </c>
      <c r="H23" s="5" t="s">
        <v>1133</v>
      </c>
    </row>
    <row r="24" spans="1:8" ht="27" x14ac:dyDescent="0.25">
      <c r="A24" s="5" t="str">
        <f t="shared" si="0"/>
        <v>01/07/2025</v>
      </c>
      <c r="B24" s="5" t="s">
        <v>1105</v>
      </c>
      <c r="C24" s="5">
        <v>0</v>
      </c>
      <c r="D24" s="5">
        <v>1</v>
      </c>
      <c r="E24" s="5">
        <v>36</v>
      </c>
      <c r="F24" s="5">
        <v>25.42</v>
      </c>
      <c r="G24" s="5" t="s">
        <v>1205</v>
      </c>
      <c r="H24" s="5" t="s">
        <v>1134</v>
      </c>
    </row>
    <row r="25" spans="1:8" ht="27" x14ac:dyDescent="0.25">
      <c r="A25" s="5" t="str">
        <f t="shared" si="0"/>
        <v>01/07/2025</v>
      </c>
      <c r="B25" s="5" t="s">
        <v>1105</v>
      </c>
      <c r="C25" s="5">
        <v>0</v>
      </c>
      <c r="D25" s="5">
        <v>1</v>
      </c>
      <c r="E25" s="5">
        <v>35</v>
      </c>
      <c r="F25" s="5">
        <v>25.42</v>
      </c>
      <c r="G25" s="5" t="s">
        <v>1143</v>
      </c>
      <c r="H25" s="5" t="s">
        <v>1135</v>
      </c>
    </row>
    <row r="26" spans="1:8" ht="27" x14ac:dyDescent="0.25">
      <c r="A26" s="5" t="str">
        <f t="shared" si="0"/>
        <v>01/07/2025</v>
      </c>
      <c r="B26" s="5" t="s">
        <v>1105</v>
      </c>
      <c r="C26" s="5">
        <v>0</v>
      </c>
      <c r="D26" s="5">
        <v>1</v>
      </c>
      <c r="E26" s="5">
        <v>34</v>
      </c>
      <c r="F26" s="5">
        <v>25.42</v>
      </c>
      <c r="G26" s="5" t="s">
        <v>1143</v>
      </c>
      <c r="H26" s="5" t="s">
        <v>1136</v>
      </c>
    </row>
    <row r="27" spans="1:8" ht="27" x14ac:dyDescent="0.25">
      <c r="A27" s="5" t="str">
        <f>"02/07/2025"</f>
        <v>02/07/2025</v>
      </c>
      <c r="B27" s="5" t="s">
        <v>1108</v>
      </c>
      <c r="C27" s="5">
        <v>0</v>
      </c>
      <c r="D27" s="5">
        <v>1</v>
      </c>
      <c r="E27" s="5">
        <v>33</v>
      </c>
      <c r="F27" s="5">
        <v>25.42</v>
      </c>
      <c r="G27" s="5" t="s">
        <v>1143</v>
      </c>
      <c r="H27" s="5" t="s">
        <v>1139</v>
      </c>
    </row>
    <row r="28" spans="1:8" ht="27" x14ac:dyDescent="0.25">
      <c r="A28" s="5" t="str">
        <f>"02/07/2025"</f>
        <v>02/07/2025</v>
      </c>
      <c r="B28" s="5" t="s">
        <v>1105</v>
      </c>
      <c r="C28" s="5">
        <v>0</v>
      </c>
      <c r="D28" s="5">
        <v>1</v>
      </c>
      <c r="E28" s="5">
        <v>32</v>
      </c>
      <c r="F28" s="5">
        <v>25.42</v>
      </c>
      <c r="G28" s="5" t="s">
        <v>1143</v>
      </c>
      <c r="H28" s="5" t="s">
        <v>1206</v>
      </c>
    </row>
    <row r="29" spans="1:8" ht="27" x14ac:dyDescent="0.25">
      <c r="A29" s="5" t="str">
        <f>"04/07/2025"</f>
        <v>04/07/2025</v>
      </c>
      <c r="B29" s="5" t="s">
        <v>1108</v>
      </c>
      <c r="C29" s="5">
        <v>0</v>
      </c>
      <c r="D29" s="5">
        <v>1</v>
      </c>
      <c r="E29" s="5">
        <v>31</v>
      </c>
      <c r="F29" s="5">
        <v>25.42</v>
      </c>
      <c r="G29" s="5" t="s">
        <v>1143</v>
      </c>
      <c r="H29" s="5" t="s">
        <v>1146</v>
      </c>
    </row>
    <row r="30" spans="1:8" ht="27" x14ac:dyDescent="0.25">
      <c r="A30" s="5" t="str">
        <f>"04/07/2025"</f>
        <v>04/07/2025</v>
      </c>
      <c r="B30" s="5" t="s">
        <v>1105</v>
      </c>
      <c r="C30" s="5">
        <v>0</v>
      </c>
      <c r="D30" s="5">
        <v>1</v>
      </c>
      <c r="E30" s="5">
        <v>30</v>
      </c>
      <c r="F30" s="5">
        <v>25.42</v>
      </c>
      <c r="G30" s="5" t="s">
        <v>1143</v>
      </c>
      <c r="H30" s="5" t="s">
        <v>1147</v>
      </c>
    </row>
    <row r="31" spans="1:8" ht="27" x14ac:dyDescent="0.25">
      <c r="A31" s="5" t="str">
        <f>"05/07/2025"</f>
        <v>05/07/2025</v>
      </c>
      <c r="B31" s="5" t="s">
        <v>1102</v>
      </c>
      <c r="C31" s="5">
        <v>0</v>
      </c>
      <c r="D31" s="5">
        <v>1</v>
      </c>
      <c r="E31" s="5">
        <v>29</v>
      </c>
      <c r="F31" s="5">
        <v>25.42</v>
      </c>
      <c r="G31" s="5" t="s">
        <v>1143</v>
      </c>
      <c r="H31" s="5" t="s">
        <v>1150</v>
      </c>
    </row>
    <row r="32" spans="1:8" ht="27" x14ac:dyDescent="0.25">
      <c r="A32" s="5" t="str">
        <f>"05/07/2025"</f>
        <v>05/07/2025</v>
      </c>
      <c r="B32" s="5" t="s">
        <v>1102</v>
      </c>
      <c r="C32" s="5">
        <v>0</v>
      </c>
      <c r="D32" s="5">
        <v>1</v>
      </c>
      <c r="E32" s="5">
        <v>28</v>
      </c>
      <c r="F32" s="5">
        <v>25.42</v>
      </c>
      <c r="G32" s="5" t="s">
        <v>1143</v>
      </c>
      <c r="H32" s="5" t="s">
        <v>1152</v>
      </c>
    </row>
    <row r="33" spans="1:8" ht="27" x14ac:dyDescent="0.25">
      <c r="A33" s="5" t="str">
        <f>"07/07/2025"</f>
        <v>07/07/2025</v>
      </c>
      <c r="B33" s="5" t="s">
        <v>1105</v>
      </c>
      <c r="C33" s="5">
        <v>0</v>
      </c>
      <c r="D33" s="5">
        <v>1</v>
      </c>
      <c r="E33" s="5">
        <v>27</v>
      </c>
      <c r="F33" s="5">
        <v>25.42</v>
      </c>
      <c r="G33" s="5" t="s">
        <v>1143</v>
      </c>
      <c r="H33" s="5" t="s">
        <v>1155</v>
      </c>
    </row>
    <row r="34" spans="1:8" ht="27" x14ac:dyDescent="0.25">
      <c r="A34" s="5" t="str">
        <f>"07/07/2025"</f>
        <v>07/07/2025</v>
      </c>
      <c r="B34" s="5" t="s">
        <v>1105</v>
      </c>
      <c r="C34" s="5">
        <v>0</v>
      </c>
      <c r="D34" s="5">
        <v>1</v>
      </c>
      <c r="E34" s="5">
        <v>26</v>
      </c>
      <c r="F34" s="5">
        <v>25.42</v>
      </c>
      <c r="G34" s="5" t="s">
        <v>1143</v>
      </c>
      <c r="H34" s="5" t="s">
        <v>1159</v>
      </c>
    </row>
    <row r="35" spans="1:8" ht="27" x14ac:dyDescent="0.25">
      <c r="A35" s="5" t="str">
        <f>"07/07/2025"</f>
        <v>07/07/2025</v>
      </c>
      <c r="B35" s="5" t="s">
        <v>1108</v>
      </c>
      <c r="C35" s="5">
        <v>0</v>
      </c>
      <c r="D35" s="5">
        <v>1</v>
      </c>
      <c r="E35" s="5">
        <v>25</v>
      </c>
      <c r="F35" s="5">
        <v>25.42</v>
      </c>
      <c r="G35" s="5" t="s">
        <v>1143</v>
      </c>
      <c r="H35" s="5" t="s">
        <v>1160</v>
      </c>
    </row>
    <row r="36" spans="1:8" ht="27" x14ac:dyDescent="0.25">
      <c r="A36" s="5" t="str">
        <f>"09/07/2025"</f>
        <v>09/07/2025</v>
      </c>
      <c r="B36" s="5" t="s">
        <v>1105</v>
      </c>
      <c r="C36" s="5">
        <v>0</v>
      </c>
      <c r="D36" s="5">
        <v>1</v>
      </c>
      <c r="E36" s="5">
        <v>24</v>
      </c>
      <c r="F36" s="5">
        <v>25.42</v>
      </c>
      <c r="G36" s="5" t="s">
        <v>1143</v>
      </c>
      <c r="H36" s="5" t="s">
        <v>1163</v>
      </c>
    </row>
    <row r="37" spans="1:8" ht="27" x14ac:dyDescent="0.25">
      <c r="A37" s="5" t="str">
        <f>"09/07/2025"</f>
        <v>09/07/2025</v>
      </c>
      <c r="B37" s="5" t="s">
        <v>1108</v>
      </c>
      <c r="C37" s="5">
        <v>0</v>
      </c>
      <c r="D37" s="5">
        <v>1</v>
      </c>
      <c r="E37" s="5">
        <v>23</v>
      </c>
      <c r="F37" s="5">
        <v>25.42</v>
      </c>
      <c r="G37" s="5" t="s">
        <v>1143</v>
      </c>
      <c r="H37" s="5" t="s">
        <v>1207</v>
      </c>
    </row>
    <row r="38" spans="1:8" ht="27" x14ac:dyDescent="0.25">
      <c r="A38" s="5" t="str">
        <f>"11/07/2025"</f>
        <v>11/07/2025</v>
      </c>
      <c r="B38" s="5" t="s">
        <v>1129</v>
      </c>
      <c r="C38" s="5">
        <v>0</v>
      </c>
      <c r="D38" s="5">
        <v>1</v>
      </c>
      <c r="E38" s="5">
        <v>22</v>
      </c>
      <c r="F38" s="5">
        <v>25.42</v>
      </c>
      <c r="G38" s="5" t="s">
        <v>1143</v>
      </c>
      <c r="H38" s="5" t="s">
        <v>1168</v>
      </c>
    </row>
    <row r="39" spans="1:8" ht="27" x14ac:dyDescent="0.25">
      <c r="A39" s="5" t="str">
        <f>"11/07/2025"</f>
        <v>11/07/2025</v>
      </c>
      <c r="B39" s="5" t="s">
        <v>1129</v>
      </c>
      <c r="C39" s="5">
        <v>0</v>
      </c>
      <c r="D39" s="5">
        <v>1</v>
      </c>
      <c r="E39" s="5">
        <v>21</v>
      </c>
      <c r="F39" s="5">
        <v>25.42</v>
      </c>
      <c r="G39" s="5" t="s">
        <v>1143</v>
      </c>
      <c r="H39" s="5" t="s">
        <v>1169</v>
      </c>
    </row>
    <row r="40" spans="1:8" ht="27" x14ac:dyDescent="0.25">
      <c r="A40" s="5" t="str">
        <f>"11/07/2025"</f>
        <v>11/07/2025</v>
      </c>
      <c r="B40" s="5" t="s">
        <v>1105</v>
      </c>
      <c r="C40" s="5">
        <v>0</v>
      </c>
      <c r="D40" s="5">
        <v>1</v>
      </c>
      <c r="E40" s="5">
        <v>20</v>
      </c>
      <c r="F40" s="5">
        <v>25.42</v>
      </c>
      <c r="G40" s="5" t="s">
        <v>1143</v>
      </c>
      <c r="H40" s="5" t="s">
        <v>1208</v>
      </c>
    </row>
    <row r="41" spans="1:8" ht="27" x14ac:dyDescent="0.25">
      <c r="A41" s="5" t="str">
        <f>"13/07/2025"</f>
        <v>13/07/2025</v>
      </c>
      <c r="B41" s="5" t="s">
        <v>1102</v>
      </c>
      <c r="C41" s="5">
        <v>0</v>
      </c>
      <c r="D41" s="5">
        <v>1</v>
      </c>
      <c r="E41" s="5">
        <v>19</v>
      </c>
      <c r="F41" s="5">
        <v>25.42</v>
      </c>
      <c r="G41" s="5" t="s">
        <v>1143</v>
      </c>
      <c r="H41" s="5" t="s">
        <v>1173</v>
      </c>
    </row>
    <row r="42" spans="1:8" ht="27" x14ac:dyDescent="0.25">
      <c r="A42" s="5" t="str">
        <f>"14/07/2025"</f>
        <v>14/07/2025</v>
      </c>
      <c r="B42" s="5" t="s">
        <v>1105</v>
      </c>
      <c r="C42" s="5">
        <v>0</v>
      </c>
      <c r="D42" s="5">
        <v>1</v>
      </c>
      <c r="E42" s="5">
        <v>18</v>
      </c>
      <c r="F42" s="5">
        <v>25.42</v>
      </c>
      <c r="G42" s="5" t="s">
        <v>1143</v>
      </c>
      <c r="H42" s="5" t="s">
        <v>1174</v>
      </c>
    </row>
    <row r="43" spans="1:8" ht="27" x14ac:dyDescent="0.25">
      <c r="A43" s="5" t="str">
        <f>"14/07/2025"</f>
        <v>14/07/2025</v>
      </c>
      <c r="B43" s="5" t="s">
        <v>1178</v>
      </c>
      <c r="C43" s="5">
        <v>0</v>
      </c>
      <c r="D43" s="5">
        <v>1</v>
      </c>
      <c r="E43" s="5">
        <v>17</v>
      </c>
      <c r="F43" s="5">
        <v>25.42</v>
      </c>
      <c r="G43" s="5" t="s">
        <v>1143</v>
      </c>
      <c r="H43" s="5" t="s">
        <v>1179</v>
      </c>
    </row>
    <row r="44" spans="1:8" ht="27" x14ac:dyDescent="0.25">
      <c r="A44" s="5" t="str">
        <f>"14/07/2025"</f>
        <v>14/07/2025</v>
      </c>
      <c r="B44" s="5" t="s">
        <v>1178</v>
      </c>
      <c r="C44" s="5">
        <v>0</v>
      </c>
      <c r="D44" s="5">
        <v>1</v>
      </c>
      <c r="E44" s="5">
        <v>16</v>
      </c>
      <c r="F44" s="5">
        <v>25.42</v>
      </c>
      <c r="G44" s="5" t="s">
        <v>1143</v>
      </c>
      <c r="H44" s="5" t="s">
        <v>1179</v>
      </c>
    </row>
    <row r="45" spans="1:8" ht="27" x14ac:dyDescent="0.25">
      <c r="A45" s="5" t="str">
        <f>"14/07/2025"</f>
        <v>14/07/2025</v>
      </c>
      <c r="B45" s="5" t="s">
        <v>1129</v>
      </c>
      <c r="C45" s="5">
        <v>0</v>
      </c>
      <c r="D45" s="5">
        <v>1</v>
      </c>
      <c r="E45" s="5">
        <v>15</v>
      </c>
      <c r="F45" s="5">
        <v>25.42</v>
      </c>
      <c r="G45" s="5" t="s">
        <v>1143</v>
      </c>
      <c r="H45" s="5" t="s">
        <v>1180</v>
      </c>
    </row>
    <row r="46" spans="1:8" ht="27" x14ac:dyDescent="0.25">
      <c r="A46" s="5" t="str">
        <f>"15/07/2025"</f>
        <v>15/07/2025</v>
      </c>
      <c r="B46" s="5" t="s">
        <v>1129</v>
      </c>
      <c r="C46" s="5">
        <v>0</v>
      </c>
      <c r="D46" s="5">
        <v>1</v>
      </c>
      <c r="E46" s="5">
        <v>14</v>
      </c>
      <c r="F46" s="5">
        <v>25.42</v>
      </c>
      <c r="G46" s="5" t="s">
        <v>1143</v>
      </c>
      <c r="H46" s="5" t="s">
        <v>1181</v>
      </c>
    </row>
    <row r="47" spans="1:8" ht="27" x14ac:dyDescent="0.25">
      <c r="A47" s="5" t="str">
        <f>"16/07/2025"</f>
        <v>16/07/2025</v>
      </c>
      <c r="B47" s="5" t="s">
        <v>1114</v>
      </c>
      <c r="C47" s="5">
        <v>0</v>
      </c>
      <c r="D47" s="5">
        <v>1</v>
      </c>
      <c r="E47" s="5">
        <v>13</v>
      </c>
      <c r="F47" s="5">
        <v>25.42</v>
      </c>
      <c r="G47" s="5" t="s">
        <v>1143</v>
      </c>
      <c r="H47" s="5" t="s">
        <v>1186</v>
      </c>
    </row>
    <row r="48" spans="1:8" ht="27" x14ac:dyDescent="0.25">
      <c r="A48" s="5" t="str">
        <f>"16/07/2025"</f>
        <v>16/07/2025</v>
      </c>
      <c r="B48" s="5" t="s">
        <v>1114</v>
      </c>
      <c r="C48" s="5">
        <v>0</v>
      </c>
      <c r="D48" s="5">
        <v>1</v>
      </c>
      <c r="E48" s="5">
        <v>12</v>
      </c>
      <c r="F48" s="5">
        <v>25.42</v>
      </c>
      <c r="G48" s="5" t="s">
        <v>1143</v>
      </c>
      <c r="H48" s="5" t="s">
        <v>1187</v>
      </c>
    </row>
    <row r="49" spans="1:8" ht="27" x14ac:dyDescent="0.25">
      <c r="A49" s="5" t="str">
        <f>"16/07/2025"</f>
        <v>16/07/2025</v>
      </c>
      <c r="B49" s="5" t="s">
        <v>1114</v>
      </c>
      <c r="C49" s="5">
        <v>0</v>
      </c>
      <c r="D49" s="5">
        <v>1</v>
      </c>
      <c r="E49" s="5">
        <v>11</v>
      </c>
      <c r="F49" s="5">
        <v>25.42</v>
      </c>
      <c r="G49" s="5" t="s">
        <v>1143</v>
      </c>
      <c r="H49" s="5" t="s">
        <v>1188</v>
      </c>
    </row>
    <row r="50" spans="1:8" ht="27" x14ac:dyDescent="0.25">
      <c r="A50" s="5" t="str">
        <f>"17/07/2025"</f>
        <v>17/07/2025</v>
      </c>
      <c r="B50" s="5" t="s">
        <v>1114</v>
      </c>
      <c r="C50" s="5">
        <v>0</v>
      </c>
      <c r="D50" s="5">
        <v>1</v>
      </c>
      <c r="E50" s="5">
        <v>10</v>
      </c>
      <c r="F50" s="5">
        <v>25.42</v>
      </c>
      <c r="G50" s="5" t="s">
        <v>1143</v>
      </c>
      <c r="H50" s="5" t="s">
        <v>1191</v>
      </c>
    </row>
    <row r="51" spans="1:8" ht="27" x14ac:dyDescent="0.25">
      <c r="A51" s="5" t="str">
        <f>"17/07/2025"</f>
        <v>17/07/2025</v>
      </c>
      <c r="B51" s="5" t="s">
        <v>1114</v>
      </c>
      <c r="C51" s="5">
        <v>0</v>
      </c>
      <c r="D51" s="5">
        <v>1</v>
      </c>
      <c r="E51" s="5">
        <v>9</v>
      </c>
      <c r="F51" s="5">
        <v>25.42</v>
      </c>
      <c r="G51" s="5" t="s">
        <v>1143</v>
      </c>
      <c r="H51" s="5" t="s">
        <v>1192</v>
      </c>
    </row>
    <row r="52" spans="1:8" ht="27" x14ac:dyDescent="0.25">
      <c r="A52" s="5" t="str">
        <f>"20/07/2025"</f>
        <v>20/07/2025</v>
      </c>
      <c r="B52" s="5" t="s">
        <v>1102</v>
      </c>
      <c r="C52" s="5">
        <v>0</v>
      </c>
      <c r="D52" s="5">
        <v>1</v>
      </c>
      <c r="E52" s="5">
        <v>8</v>
      </c>
      <c r="F52" s="5">
        <v>25.42</v>
      </c>
      <c r="G52" s="5" t="s">
        <v>1143</v>
      </c>
      <c r="H52" s="5" t="s">
        <v>1198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72E6F-28F1-4B4A-BCBD-32AE58FC5A36}">
  <dimension ref="A1:K42"/>
  <sheetViews>
    <sheetView workbookViewId="0">
      <selection activeCell="C6" sqref="C6:I6"/>
    </sheetView>
  </sheetViews>
  <sheetFormatPr baseColWidth="10" defaultRowHeight="15" x14ac:dyDescent="0.25"/>
  <cols>
    <col min="1" max="1" width="11" customWidth="1"/>
    <col min="2" max="2" width="18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44.5703125" customWidth="1"/>
    <col min="8" max="8" width="32.140625" customWidth="1"/>
    <col min="9" max="9" width="14.28515625" customWidth="1"/>
    <col min="10" max="10" width="14.85546875" customWidth="1"/>
    <col min="11" max="11" width="20.140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"743877066945"</f>
        <v>743877066945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"743877066945"</f>
        <v>743877066945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25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0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24</v>
      </c>
      <c r="F10" s="5">
        <v>27.14</v>
      </c>
      <c r="G10" s="5" t="s">
        <v>1209</v>
      </c>
      <c r="H10" s="5" t="s">
        <v>1210</v>
      </c>
    </row>
    <row r="11" spans="1:11" ht="27" x14ac:dyDescent="0.25">
      <c r="A11" s="5" t="str">
        <f>"21/06/2025"</f>
        <v>21/06/2025</v>
      </c>
      <c r="B11" s="5" t="s">
        <v>1102</v>
      </c>
      <c r="C11" s="5">
        <v>0</v>
      </c>
      <c r="D11" s="5">
        <v>1</v>
      </c>
      <c r="E11" s="5">
        <v>23</v>
      </c>
      <c r="F11" s="5">
        <v>27.14</v>
      </c>
      <c r="G11" s="5" t="s">
        <v>1209</v>
      </c>
      <c r="H11" s="5" t="s">
        <v>1211</v>
      </c>
    </row>
    <row r="12" spans="1:11" ht="27" x14ac:dyDescent="0.25">
      <c r="A12" s="5" t="str">
        <f>"21/06/2025"</f>
        <v>21/06/2025</v>
      </c>
      <c r="B12" s="5" t="s">
        <v>1102</v>
      </c>
      <c r="C12" s="5">
        <v>0</v>
      </c>
      <c r="D12" s="5">
        <v>1</v>
      </c>
      <c r="E12" s="5">
        <v>22</v>
      </c>
      <c r="F12" s="5">
        <v>27.14</v>
      </c>
      <c r="G12" s="5" t="s">
        <v>1209</v>
      </c>
      <c r="H12" s="5" t="s">
        <v>1212</v>
      </c>
    </row>
    <row r="13" spans="1:11" ht="27" x14ac:dyDescent="0.25">
      <c r="A13" s="5" t="str">
        <f>"21/06/2025"</f>
        <v>21/06/2025</v>
      </c>
      <c r="B13" s="5" t="s">
        <v>1102</v>
      </c>
      <c r="C13" s="5">
        <v>0</v>
      </c>
      <c r="D13" s="5">
        <v>1</v>
      </c>
      <c r="E13" s="5">
        <v>21</v>
      </c>
      <c r="F13" s="5">
        <v>27.14</v>
      </c>
      <c r="G13" s="5" t="s">
        <v>1209</v>
      </c>
      <c r="H13" s="5" t="s">
        <v>1213</v>
      </c>
    </row>
    <row r="14" spans="1:11" ht="27" x14ac:dyDescent="0.25">
      <c r="A14" s="5" t="str">
        <f>"23/06/2025"</f>
        <v>23/06/2025</v>
      </c>
      <c r="B14" s="5" t="s">
        <v>1102</v>
      </c>
      <c r="C14" s="5">
        <v>0</v>
      </c>
      <c r="D14" s="5">
        <v>1</v>
      </c>
      <c r="E14" s="5">
        <v>20</v>
      </c>
      <c r="F14" s="5">
        <v>27.14</v>
      </c>
      <c r="G14" s="5" t="s">
        <v>1209</v>
      </c>
      <c r="H14" s="5" t="s">
        <v>1214</v>
      </c>
    </row>
    <row r="15" spans="1:11" ht="27" x14ac:dyDescent="0.25">
      <c r="A15" s="5" t="str">
        <f>"23/06/2025"</f>
        <v>23/06/2025</v>
      </c>
      <c r="B15" s="5" t="s">
        <v>1102</v>
      </c>
      <c r="C15" s="5">
        <v>0</v>
      </c>
      <c r="D15" s="5">
        <v>1</v>
      </c>
      <c r="E15" s="5">
        <v>19</v>
      </c>
      <c r="F15" s="5">
        <v>27.14</v>
      </c>
      <c r="G15" s="5" t="s">
        <v>1209</v>
      </c>
      <c r="H15" s="5" t="s">
        <v>1215</v>
      </c>
    </row>
    <row r="16" spans="1:11" ht="27" x14ac:dyDescent="0.25">
      <c r="A16" s="5" t="str">
        <f>"23/06/2025"</f>
        <v>23/06/2025</v>
      </c>
      <c r="B16" s="5" t="s">
        <v>1108</v>
      </c>
      <c r="C16" s="5">
        <v>0</v>
      </c>
      <c r="D16" s="5">
        <v>1</v>
      </c>
      <c r="E16" s="5">
        <v>18</v>
      </c>
      <c r="F16" s="5">
        <v>27.14</v>
      </c>
      <c r="G16" s="5" t="s">
        <v>1209</v>
      </c>
      <c r="H16" s="5" t="s">
        <v>1216</v>
      </c>
    </row>
    <row r="17" spans="1:8" ht="27" x14ac:dyDescent="0.25">
      <c r="A17" s="5" t="str">
        <f>"24/06/2025"</f>
        <v>24/06/2025</v>
      </c>
      <c r="B17" s="5" t="s">
        <v>1102</v>
      </c>
      <c r="C17" s="5">
        <v>1</v>
      </c>
      <c r="D17" s="5">
        <v>0</v>
      </c>
      <c r="E17" s="5">
        <v>19</v>
      </c>
      <c r="F17" s="5">
        <v>27.14</v>
      </c>
      <c r="G17" s="5" t="s">
        <v>1217</v>
      </c>
      <c r="H17" s="6"/>
    </row>
    <row r="18" spans="1:8" ht="27" x14ac:dyDescent="0.25">
      <c r="A18" s="5" t="str">
        <f>"24/06/2025"</f>
        <v>24/06/2025</v>
      </c>
      <c r="B18" s="5" t="s">
        <v>1102</v>
      </c>
      <c r="C18" s="5">
        <v>0</v>
      </c>
      <c r="D18" s="5">
        <v>1</v>
      </c>
      <c r="E18" s="5">
        <v>18</v>
      </c>
      <c r="F18" s="5">
        <v>27.14</v>
      </c>
      <c r="G18" s="5" t="s">
        <v>1217</v>
      </c>
      <c r="H18" s="5" t="s">
        <v>1218</v>
      </c>
    </row>
    <row r="19" spans="1:8" ht="27" x14ac:dyDescent="0.25">
      <c r="A19" s="5" t="str">
        <f>"25/06/2025"</f>
        <v>25/06/2025</v>
      </c>
      <c r="B19" s="5" t="s">
        <v>1102</v>
      </c>
      <c r="C19" s="5">
        <v>1</v>
      </c>
      <c r="D19" s="5">
        <v>0</v>
      </c>
      <c r="E19" s="5">
        <v>19</v>
      </c>
      <c r="F19" s="5">
        <v>27.14</v>
      </c>
      <c r="G19" s="5" t="s">
        <v>1219</v>
      </c>
      <c r="H19" s="6"/>
    </row>
    <row r="20" spans="1:8" ht="27" x14ac:dyDescent="0.25">
      <c r="A20" s="5" t="str">
        <f>"25/06/2025"</f>
        <v>25/06/2025</v>
      </c>
      <c r="B20" s="5" t="s">
        <v>1108</v>
      </c>
      <c r="C20" s="5">
        <v>0</v>
      </c>
      <c r="D20" s="5">
        <v>1</v>
      </c>
      <c r="E20" s="5">
        <v>18</v>
      </c>
      <c r="F20" s="5">
        <v>27.14</v>
      </c>
      <c r="G20" s="5" t="s">
        <v>1219</v>
      </c>
      <c r="H20" s="5" t="s">
        <v>1220</v>
      </c>
    </row>
    <row r="21" spans="1:8" ht="27" x14ac:dyDescent="0.25">
      <c r="A21" s="5" t="str">
        <f>"25/06/2025"</f>
        <v>25/06/2025</v>
      </c>
      <c r="B21" s="5" t="s">
        <v>1114</v>
      </c>
      <c r="C21" s="5">
        <v>0</v>
      </c>
      <c r="D21" s="5">
        <v>1</v>
      </c>
      <c r="E21" s="5">
        <v>17</v>
      </c>
      <c r="F21" s="5">
        <v>27.14</v>
      </c>
      <c r="G21" s="5" t="s">
        <v>1209</v>
      </c>
      <c r="H21" s="5" t="s">
        <v>1221</v>
      </c>
    </row>
    <row r="22" spans="1:8" ht="27" x14ac:dyDescent="0.25">
      <c r="A22" s="5" t="str">
        <f>"26/06/2025"</f>
        <v>26/06/2025</v>
      </c>
      <c r="B22" s="5" t="s">
        <v>1108</v>
      </c>
      <c r="C22" s="5">
        <v>0</v>
      </c>
      <c r="D22" s="5">
        <v>1</v>
      </c>
      <c r="E22" s="5">
        <v>16</v>
      </c>
      <c r="F22" s="5">
        <v>27.14</v>
      </c>
      <c r="G22" s="5" t="s">
        <v>1209</v>
      </c>
      <c r="H22" s="5" t="s">
        <v>1222</v>
      </c>
    </row>
    <row r="23" spans="1:8" ht="27" x14ac:dyDescent="0.25">
      <c r="A23" s="5" t="str">
        <f>"27/06/2025"</f>
        <v>27/06/2025</v>
      </c>
      <c r="B23" s="5" t="s">
        <v>1108</v>
      </c>
      <c r="C23" s="5">
        <v>0</v>
      </c>
      <c r="D23" s="5">
        <v>1</v>
      </c>
      <c r="E23" s="5">
        <v>15</v>
      </c>
      <c r="F23" s="5">
        <v>27.14</v>
      </c>
      <c r="G23" s="5" t="s">
        <v>1209</v>
      </c>
      <c r="H23" s="5" t="s">
        <v>1223</v>
      </c>
    </row>
    <row r="24" spans="1:8" ht="27" x14ac:dyDescent="0.25">
      <c r="A24" s="5" t="str">
        <f>"27/06/2025"</f>
        <v>27/06/2025</v>
      </c>
      <c r="B24" s="5" t="s">
        <v>1108</v>
      </c>
      <c r="C24" s="5">
        <v>0</v>
      </c>
      <c r="D24" s="5">
        <v>1</v>
      </c>
      <c r="E24" s="5">
        <v>14</v>
      </c>
      <c r="F24" s="5">
        <v>27.14</v>
      </c>
      <c r="G24" s="5" t="s">
        <v>1209</v>
      </c>
      <c r="H24" s="5" t="s">
        <v>1224</v>
      </c>
    </row>
    <row r="25" spans="1:8" ht="27" x14ac:dyDescent="0.25">
      <c r="A25" s="5" t="str">
        <f>"29/06/2025"</f>
        <v>29/06/2025</v>
      </c>
      <c r="B25" s="5" t="s">
        <v>1102</v>
      </c>
      <c r="C25" s="5">
        <v>0</v>
      </c>
      <c r="D25" s="5">
        <v>1</v>
      </c>
      <c r="E25" s="5">
        <v>13</v>
      </c>
      <c r="F25" s="5">
        <v>27.14</v>
      </c>
      <c r="G25" s="5" t="s">
        <v>1209</v>
      </c>
      <c r="H25" s="5" t="s">
        <v>1225</v>
      </c>
    </row>
    <row r="26" spans="1:8" ht="27" x14ac:dyDescent="0.25">
      <c r="A26" s="5" t="str">
        <f>"05/07/2025"</f>
        <v>05/07/2025</v>
      </c>
      <c r="B26" s="5" t="s">
        <v>1102</v>
      </c>
      <c r="C26" s="5">
        <v>0</v>
      </c>
      <c r="D26" s="5">
        <v>1</v>
      </c>
      <c r="E26" s="5">
        <v>12</v>
      </c>
      <c r="F26" s="5">
        <v>27.14</v>
      </c>
      <c r="G26" s="5" t="s">
        <v>1209</v>
      </c>
      <c r="H26" s="5" t="s">
        <v>1226</v>
      </c>
    </row>
    <row r="27" spans="1:8" ht="27" x14ac:dyDescent="0.25">
      <c r="A27" s="5" t="str">
        <f>"05/07/2025"</f>
        <v>05/07/2025</v>
      </c>
      <c r="B27" s="5" t="s">
        <v>1129</v>
      </c>
      <c r="C27" s="5">
        <v>0</v>
      </c>
      <c r="D27" s="5">
        <v>1</v>
      </c>
      <c r="E27" s="5">
        <v>11</v>
      </c>
      <c r="F27" s="5">
        <v>27.14</v>
      </c>
      <c r="G27" s="5" t="s">
        <v>1209</v>
      </c>
      <c r="H27" s="5" t="s">
        <v>1227</v>
      </c>
    </row>
    <row r="28" spans="1:8" ht="27" x14ac:dyDescent="0.25">
      <c r="A28" s="5" t="str">
        <f>"05/07/2025"</f>
        <v>05/07/2025</v>
      </c>
      <c r="B28" s="5" t="s">
        <v>1102</v>
      </c>
      <c r="C28" s="5">
        <v>0</v>
      </c>
      <c r="D28" s="5">
        <v>1</v>
      </c>
      <c r="E28" s="5">
        <v>10</v>
      </c>
      <c r="F28" s="5">
        <v>27.14</v>
      </c>
      <c r="G28" s="5" t="s">
        <v>1209</v>
      </c>
      <c r="H28" s="5" t="s">
        <v>1228</v>
      </c>
    </row>
    <row r="29" spans="1:8" ht="27" x14ac:dyDescent="0.25">
      <c r="A29" s="5" t="str">
        <f>"06/07/2025"</f>
        <v>06/07/2025</v>
      </c>
      <c r="B29" s="5" t="s">
        <v>1102</v>
      </c>
      <c r="C29" s="5">
        <v>0</v>
      </c>
      <c r="D29" s="5">
        <v>1</v>
      </c>
      <c r="E29" s="5">
        <v>9</v>
      </c>
      <c r="F29" s="5">
        <v>27.14</v>
      </c>
      <c r="G29" s="5" t="s">
        <v>1209</v>
      </c>
      <c r="H29" s="5" t="s">
        <v>1229</v>
      </c>
    </row>
    <row r="30" spans="1:8" ht="27" x14ac:dyDescent="0.25">
      <c r="A30" s="5" t="str">
        <f>"07/07/2025"</f>
        <v>07/07/2025</v>
      </c>
      <c r="B30" s="5" t="s">
        <v>1129</v>
      </c>
      <c r="C30" s="5">
        <v>1</v>
      </c>
      <c r="D30" s="5">
        <v>0</v>
      </c>
      <c r="E30" s="5">
        <v>10</v>
      </c>
      <c r="F30" s="5">
        <v>27.14</v>
      </c>
      <c r="G30" s="5" t="s">
        <v>1230</v>
      </c>
      <c r="H30" s="6"/>
    </row>
    <row r="31" spans="1:8" ht="27" x14ac:dyDescent="0.25">
      <c r="A31" s="5" t="str">
        <f>"07/07/2025"</f>
        <v>07/07/2025</v>
      </c>
      <c r="B31" s="5" t="s">
        <v>1102</v>
      </c>
      <c r="C31" s="5">
        <v>0</v>
      </c>
      <c r="D31" s="5">
        <v>1</v>
      </c>
      <c r="E31" s="5">
        <v>9</v>
      </c>
      <c r="F31" s="5">
        <v>27.14</v>
      </c>
      <c r="G31" s="5" t="s">
        <v>1230</v>
      </c>
      <c r="H31" s="5" t="s">
        <v>1231</v>
      </c>
    </row>
    <row r="32" spans="1:8" ht="27" x14ac:dyDescent="0.25">
      <c r="A32" s="5" t="str">
        <f>"07/07/2025"</f>
        <v>07/07/2025</v>
      </c>
      <c r="B32" s="5" t="s">
        <v>1114</v>
      </c>
      <c r="C32" s="5">
        <v>0</v>
      </c>
      <c r="D32" s="5">
        <v>1</v>
      </c>
      <c r="E32" s="5">
        <v>8</v>
      </c>
      <c r="F32" s="5">
        <v>27.14</v>
      </c>
      <c r="G32" s="5" t="s">
        <v>1209</v>
      </c>
      <c r="H32" s="5" t="s">
        <v>1232</v>
      </c>
    </row>
    <row r="33" spans="1:8" ht="27" x14ac:dyDescent="0.25">
      <c r="A33" s="5" t="str">
        <f>"08/07/2025"</f>
        <v>08/07/2025</v>
      </c>
      <c r="B33" s="5" t="s">
        <v>1102</v>
      </c>
      <c r="C33" s="5">
        <v>0</v>
      </c>
      <c r="D33" s="5">
        <v>1</v>
      </c>
      <c r="E33" s="5">
        <v>7</v>
      </c>
      <c r="F33" s="5">
        <v>27.14</v>
      </c>
      <c r="G33" s="5" t="s">
        <v>1209</v>
      </c>
      <c r="H33" s="5" t="s">
        <v>1233</v>
      </c>
    </row>
    <row r="34" spans="1:8" ht="27" x14ac:dyDescent="0.25">
      <c r="A34" s="5" t="str">
        <f>"09/07/2025"</f>
        <v>09/07/2025</v>
      </c>
      <c r="B34" s="5" t="s">
        <v>1108</v>
      </c>
      <c r="C34" s="5">
        <v>0</v>
      </c>
      <c r="D34" s="5">
        <v>1</v>
      </c>
      <c r="E34" s="5">
        <v>6</v>
      </c>
      <c r="F34" s="5">
        <v>27.14</v>
      </c>
      <c r="G34" s="5" t="s">
        <v>1209</v>
      </c>
      <c r="H34" s="5" t="s">
        <v>1234</v>
      </c>
    </row>
    <row r="35" spans="1:8" ht="27" x14ac:dyDescent="0.25">
      <c r="A35" s="5" t="str">
        <f>"09/07/2025"</f>
        <v>09/07/2025</v>
      </c>
      <c r="B35" s="5" t="s">
        <v>1114</v>
      </c>
      <c r="C35" s="5">
        <v>0</v>
      </c>
      <c r="D35" s="5">
        <v>1</v>
      </c>
      <c r="E35" s="5">
        <v>5</v>
      </c>
      <c r="F35" s="5">
        <v>27.14</v>
      </c>
      <c r="G35" s="5" t="s">
        <v>1209</v>
      </c>
      <c r="H35" s="5" t="s">
        <v>1235</v>
      </c>
    </row>
    <row r="36" spans="1:8" ht="27" x14ac:dyDescent="0.25">
      <c r="A36" s="5" t="str">
        <f>"10/07/2025"</f>
        <v>10/07/2025</v>
      </c>
      <c r="B36" s="5" t="s">
        <v>1102</v>
      </c>
      <c r="C36" s="5">
        <v>0</v>
      </c>
      <c r="D36" s="5">
        <v>1</v>
      </c>
      <c r="E36" s="5">
        <v>4</v>
      </c>
      <c r="F36" s="5">
        <v>27.14</v>
      </c>
      <c r="G36" s="5" t="s">
        <v>1209</v>
      </c>
      <c r="H36" s="5" t="s">
        <v>1236</v>
      </c>
    </row>
    <row r="37" spans="1:8" ht="27" x14ac:dyDescent="0.25">
      <c r="A37" s="5" t="str">
        <f>"11/07/2025"</f>
        <v>11/07/2025</v>
      </c>
      <c r="B37" s="5" t="s">
        <v>1170</v>
      </c>
      <c r="C37" s="5">
        <v>0</v>
      </c>
      <c r="D37" s="5">
        <v>1</v>
      </c>
      <c r="E37" s="5">
        <v>3</v>
      </c>
      <c r="F37" s="5">
        <v>27.14</v>
      </c>
      <c r="G37" s="5" t="s">
        <v>1209</v>
      </c>
      <c r="H37" s="5" t="s">
        <v>1237</v>
      </c>
    </row>
    <row r="38" spans="1:8" ht="27" x14ac:dyDescent="0.25">
      <c r="A38" s="5" t="str">
        <f>"12/07/2025"</f>
        <v>12/07/2025</v>
      </c>
      <c r="B38" s="5" t="s">
        <v>1102</v>
      </c>
      <c r="C38" s="5">
        <v>0</v>
      </c>
      <c r="D38" s="5">
        <v>1</v>
      </c>
      <c r="E38" s="5">
        <v>2</v>
      </c>
      <c r="F38" s="5">
        <v>27.14</v>
      </c>
      <c r="G38" s="5" t="s">
        <v>1209</v>
      </c>
      <c r="H38" s="5" t="s">
        <v>1238</v>
      </c>
    </row>
    <row r="39" spans="1:8" ht="27" x14ac:dyDescent="0.25">
      <c r="A39" s="5" t="str">
        <f>"13/07/2025"</f>
        <v>13/07/2025</v>
      </c>
      <c r="B39" s="5" t="s">
        <v>1102</v>
      </c>
      <c r="C39" s="5">
        <v>0</v>
      </c>
      <c r="D39" s="5">
        <v>1</v>
      </c>
      <c r="E39" s="5">
        <v>1</v>
      </c>
      <c r="F39" s="5">
        <v>27.14</v>
      </c>
      <c r="G39" s="5" t="s">
        <v>1209</v>
      </c>
      <c r="H39" s="5" t="s">
        <v>1173</v>
      </c>
    </row>
    <row r="40" spans="1:8" ht="27" x14ac:dyDescent="0.25">
      <c r="A40" s="5" t="str">
        <f>"14/07/2025"</f>
        <v>14/07/2025</v>
      </c>
      <c r="B40" s="5" t="s">
        <v>1129</v>
      </c>
      <c r="C40" s="5">
        <v>0</v>
      </c>
      <c r="D40" s="5">
        <v>1</v>
      </c>
      <c r="E40" s="5">
        <v>0</v>
      </c>
      <c r="F40" s="5">
        <v>27.14</v>
      </c>
      <c r="G40" s="5" t="s">
        <v>1209</v>
      </c>
      <c r="H40" s="5" t="s">
        <v>1239</v>
      </c>
    </row>
    <row r="41" spans="1:8" ht="27" x14ac:dyDescent="0.25">
      <c r="A41" s="5" t="str">
        <f>"19/07/2025"</f>
        <v>19/07/2025</v>
      </c>
      <c r="B41" s="5" t="s">
        <v>1240</v>
      </c>
      <c r="C41" s="5">
        <v>1</v>
      </c>
      <c r="D41" s="5">
        <v>0</v>
      </c>
      <c r="E41" s="5">
        <v>1</v>
      </c>
      <c r="F41" s="5">
        <v>0</v>
      </c>
      <c r="G41" s="5" t="s">
        <v>1241</v>
      </c>
      <c r="H41" s="6"/>
    </row>
    <row r="42" spans="1:8" ht="27" x14ac:dyDescent="0.25">
      <c r="A42" s="5" t="str">
        <f>"19/07/2025"</f>
        <v>19/07/2025</v>
      </c>
      <c r="B42" s="5" t="s">
        <v>1102</v>
      </c>
      <c r="C42" s="5">
        <v>0</v>
      </c>
      <c r="D42" s="5">
        <v>1</v>
      </c>
      <c r="E42" s="5">
        <v>0</v>
      </c>
      <c r="F42" s="5">
        <v>0</v>
      </c>
      <c r="G42" s="5" t="s">
        <v>1241</v>
      </c>
      <c r="H42" s="5" t="s">
        <v>1242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C815B-75AE-48EE-86A7-D60E8EC8A6AF}">
  <dimension ref="A1:K32"/>
  <sheetViews>
    <sheetView workbookViewId="0">
      <selection activeCell="C5" sqref="C5:I5"/>
    </sheetView>
  </sheetViews>
  <sheetFormatPr baseColWidth="10" defaultRowHeight="15" x14ac:dyDescent="0.25"/>
  <cols>
    <col min="1" max="1" width="10.5703125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19.85546875" customWidth="1"/>
    <col min="8" max="8" width="33.140625" customWidth="1"/>
    <col min="9" max="9" width="26.5703125" customWidth="1"/>
    <col min="10" max="10" width="14.85546875" customWidth="1"/>
    <col min="11" max="11" width="20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11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"4064666326108"</f>
        <v>4064666326108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"4064666326108"</f>
        <v>4064666326108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4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32</v>
      </c>
      <c r="D10" s="5">
        <v>0</v>
      </c>
      <c r="E10" s="5">
        <v>32</v>
      </c>
      <c r="F10" s="5">
        <v>65.489999999999995</v>
      </c>
      <c r="G10" s="5" t="s">
        <v>1244</v>
      </c>
      <c r="H10" s="6"/>
    </row>
    <row r="11" spans="1:11" ht="27" x14ac:dyDescent="0.25">
      <c r="A11" s="5" t="str">
        <f>"03/07/2025"</f>
        <v>03/07/2025</v>
      </c>
      <c r="B11" s="5" t="s">
        <v>1114</v>
      </c>
      <c r="C11" s="5">
        <v>0</v>
      </c>
      <c r="D11" s="5">
        <v>1</v>
      </c>
      <c r="E11" s="5">
        <v>31</v>
      </c>
      <c r="F11" s="5">
        <v>65.489999999999995</v>
      </c>
      <c r="G11" s="5" t="s">
        <v>1244</v>
      </c>
      <c r="H11" s="5" t="s">
        <v>1245</v>
      </c>
    </row>
    <row r="12" spans="1:11" ht="27" x14ac:dyDescent="0.25">
      <c r="A12" s="5" t="str">
        <f>"03/07/2025"</f>
        <v>03/07/2025</v>
      </c>
      <c r="B12" s="5" t="s">
        <v>1102</v>
      </c>
      <c r="C12" s="5">
        <v>0</v>
      </c>
      <c r="D12" s="5">
        <v>1</v>
      </c>
      <c r="E12" s="5">
        <v>30</v>
      </c>
      <c r="F12" s="5">
        <v>65.489999999999995</v>
      </c>
      <c r="G12" s="5" t="s">
        <v>1244</v>
      </c>
      <c r="H12" s="5" t="s">
        <v>1246</v>
      </c>
    </row>
    <row r="13" spans="1:11" ht="27" x14ac:dyDescent="0.25">
      <c r="A13" s="5" t="str">
        <f>"05/07/2025"</f>
        <v>05/07/2025</v>
      </c>
      <c r="B13" s="5" t="s">
        <v>1102</v>
      </c>
      <c r="C13" s="5">
        <v>0</v>
      </c>
      <c r="D13" s="5">
        <v>1</v>
      </c>
      <c r="E13" s="5">
        <v>29</v>
      </c>
      <c r="F13" s="5">
        <v>65.489999999999995</v>
      </c>
      <c r="G13" s="5" t="s">
        <v>1244</v>
      </c>
      <c r="H13" s="5" t="s">
        <v>1247</v>
      </c>
    </row>
    <row r="14" spans="1:11" ht="27" x14ac:dyDescent="0.25">
      <c r="A14" s="5" t="str">
        <f>"07/07/2025"</f>
        <v>07/07/2025</v>
      </c>
      <c r="B14" s="5" t="s">
        <v>1105</v>
      </c>
      <c r="C14" s="5">
        <v>0</v>
      </c>
      <c r="D14" s="5">
        <v>1</v>
      </c>
      <c r="E14" s="5">
        <v>28</v>
      </c>
      <c r="F14" s="5">
        <v>65.489999999999995</v>
      </c>
      <c r="G14" s="5" t="s">
        <v>1244</v>
      </c>
      <c r="H14" s="5" t="s">
        <v>1248</v>
      </c>
    </row>
    <row r="15" spans="1:11" ht="27" x14ac:dyDescent="0.25">
      <c r="A15" s="5" t="str">
        <f>"07/07/2025"</f>
        <v>07/07/2025</v>
      </c>
      <c r="B15" s="5" t="s">
        <v>1114</v>
      </c>
      <c r="C15" s="5">
        <v>0</v>
      </c>
      <c r="D15" s="5">
        <v>3</v>
      </c>
      <c r="E15" s="5">
        <v>25</v>
      </c>
      <c r="F15" s="5">
        <v>65.489999999999995</v>
      </c>
      <c r="G15" s="5" t="s">
        <v>1244</v>
      </c>
      <c r="H15" s="5" t="s">
        <v>1249</v>
      </c>
      <c r="I15" s="5" t="s">
        <v>1250</v>
      </c>
      <c r="J15" s="5" t="s">
        <v>1251</v>
      </c>
      <c r="K15" s="5" t="s">
        <v>1252</v>
      </c>
    </row>
    <row r="16" spans="1:11" ht="27" x14ac:dyDescent="0.25">
      <c r="A16" s="5" t="str">
        <f>"09/07/2025"</f>
        <v>09/07/2025</v>
      </c>
      <c r="B16" s="5" t="s">
        <v>1178</v>
      </c>
      <c r="C16" s="5">
        <v>0</v>
      </c>
      <c r="D16" s="5">
        <v>4</v>
      </c>
      <c r="E16" s="5">
        <v>21</v>
      </c>
      <c r="F16" s="5">
        <v>65.489999999999995</v>
      </c>
      <c r="G16" s="5" t="s">
        <v>1244</v>
      </c>
      <c r="H16" s="5" t="s">
        <v>1253</v>
      </c>
      <c r="I16" s="5" t="s">
        <v>1254</v>
      </c>
      <c r="J16" s="6"/>
      <c r="K16" s="6"/>
    </row>
    <row r="17" spans="1:8" ht="27" x14ac:dyDescent="0.25">
      <c r="A17" s="5" t="str">
        <f>"11/07/2025"</f>
        <v>11/07/2025</v>
      </c>
      <c r="B17" s="5" t="s">
        <v>1108</v>
      </c>
      <c r="C17" s="5">
        <v>0</v>
      </c>
      <c r="D17" s="5">
        <v>1</v>
      </c>
      <c r="E17" s="5">
        <v>20</v>
      </c>
      <c r="F17" s="5">
        <v>65.489999999999995</v>
      </c>
      <c r="G17" s="5" t="s">
        <v>1244</v>
      </c>
      <c r="H17" s="5" t="s">
        <v>1255</v>
      </c>
    </row>
    <row r="18" spans="1:8" ht="27" x14ac:dyDescent="0.25">
      <c r="A18" s="5" t="str">
        <f>"11/07/2025"</f>
        <v>11/07/2025</v>
      </c>
      <c r="B18" s="5" t="s">
        <v>1105</v>
      </c>
      <c r="C18" s="5">
        <v>0</v>
      </c>
      <c r="D18" s="5">
        <v>1</v>
      </c>
      <c r="E18" s="5">
        <v>19</v>
      </c>
      <c r="F18" s="5">
        <v>65.489999999999995</v>
      </c>
      <c r="G18" s="5" t="s">
        <v>1244</v>
      </c>
      <c r="H18" s="5" t="s">
        <v>1256</v>
      </c>
    </row>
    <row r="19" spans="1:8" ht="27" x14ac:dyDescent="0.25">
      <c r="A19" s="5" t="str">
        <f>"14/07/2025"</f>
        <v>14/07/2025</v>
      </c>
      <c r="B19" s="5" t="s">
        <v>1105</v>
      </c>
      <c r="C19" s="5">
        <v>0</v>
      </c>
      <c r="D19" s="5">
        <v>1</v>
      </c>
      <c r="E19" s="5">
        <v>18</v>
      </c>
      <c r="F19" s="5">
        <v>65.489999999999995</v>
      </c>
      <c r="G19" s="5" t="s">
        <v>1244</v>
      </c>
      <c r="H19" s="5" t="s">
        <v>1257</v>
      </c>
    </row>
    <row r="20" spans="1:8" ht="27" x14ac:dyDescent="0.25">
      <c r="A20" s="5" t="str">
        <f>"14/07/2025"</f>
        <v>14/07/2025</v>
      </c>
      <c r="B20" s="5" t="s">
        <v>1105</v>
      </c>
      <c r="C20" s="5">
        <v>0</v>
      </c>
      <c r="D20" s="5">
        <v>1</v>
      </c>
      <c r="E20" s="5">
        <v>17</v>
      </c>
      <c r="F20" s="5">
        <v>65.489999999999995</v>
      </c>
      <c r="G20" s="5" t="s">
        <v>1244</v>
      </c>
      <c r="H20" s="5" t="s">
        <v>1258</v>
      </c>
    </row>
    <row r="21" spans="1:8" ht="27" x14ac:dyDescent="0.25">
      <c r="A21" s="5" t="str">
        <f>"14/07/2025"</f>
        <v>14/07/2025</v>
      </c>
      <c r="B21" s="5" t="s">
        <v>1114</v>
      </c>
      <c r="C21" s="5">
        <v>0</v>
      </c>
      <c r="D21" s="5">
        <v>1</v>
      </c>
      <c r="E21" s="5">
        <v>16</v>
      </c>
      <c r="F21" s="5">
        <v>65.489999999999995</v>
      </c>
      <c r="G21" s="5" t="s">
        <v>1244</v>
      </c>
      <c r="H21" s="5" t="s">
        <v>1259</v>
      </c>
    </row>
    <row r="22" spans="1:8" ht="27" x14ac:dyDescent="0.25">
      <c r="A22" s="5" t="str">
        <f>"15/07/2025"</f>
        <v>15/07/2025</v>
      </c>
      <c r="B22" s="5" t="s">
        <v>1114</v>
      </c>
      <c r="C22" s="5">
        <v>0</v>
      </c>
      <c r="D22" s="5">
        <v>1</v>
      </c>
      <c r="E22" s="5">
        <v>15</v>
      </c>
      <c r="F22" s="5">
        <v>65.489999999999995</v>
      </c>
      <c r="G22" s="5" t="s">
        <v>1244</v>
      </c>
      <c r="H22" s="5" t="s">
        <v>1260</v>
      </c>
    </row>
    <row r="23" spans="1:8" ht="27" x14ac:dyDescent="0.25">
      <c r="A23" s="5" t="str">
        <f>"15/07/2025"</f>
        <v>15/07/2025</v>
      </c>
      <c r="B23" s="5" t="s">
        <v>1129</v>
      </c>
      <c r="C23" s="5">
        <v>0</v>
      </c>
      <c r="D23" s="5">
        <v>2</v>
      </c>
      <c r="E23" s="5">
        <v>13</v>
      </c>
      <c r="F23" s="5">
        <v>65.489999999999995</v>
      </c>
      <c r="G23" s="5" t="s">
        <v>1244</v>
      </c>
      <c r="H23" s="5" t="s">
        <v>1261</v>
      </c>
    </row>
    <row r="24" spans="1:8" ht="27" x14ac:dyDescent="0.25">
      <c r="A24" s="5" t="str">
        <f>"15/07/2025"</f>
        <v>15/07/2025</v>
      </c>
      <c r="B24" s="5" t="s">
        <v>1114</v>
      </c>
      <c r="C24" s="5">
        <v>0</v>
      </c>
      <c r="D24" s="5">
        <v>1</v>
      </c>
      <c r="E24" s="5">
        <v>12</v>
      </c>
      <c r="F24" s="5">
        <v>65.489999999999995</v>
      </c>
      <c r="G24" s="5" t="s">
        <v>1244</v>
      </c>
      <c r="H24" s="5" t="s">
        <v>1262</v>
      </c>
    </row>
    <row r="25" spans="1:8" ht="27" x14ac:dyDescent="0.25">
      <c r="A25" s="5" t="str">
        <f>"16/07/2025"</f>
        <v>16/07/2025</v>
      </c>
      <c r="B25" s="5" t="s">
        <v>1114</v>
      </c>
      <c r="C25" s="5">
        <v>0</v>
      </c>
      <c r="D25" s="5">
        <v>1</v>
      </c>
      <c r="E25" s="5">
        <v>11</v>
      </c>
      <c r="F25" s="5">
        <v>65.489999999999995</v>
      </c>
      <c r="G25" s="5" t="s">
        <v>1244</v>
      </c>
      <c r="H25" s="5" t="s">
        <v>1263</v>
      </c>
    </row>
    <row r="26" spans="1:8" ht="27" x14ac:dyDescent="0.25">
      <c r="A26" s="5" t="str">
        <f>"17/07/2025"</f>
        <v>17/07/2025</v>
      </c>
      <c r="B26" s="5" t="s">
        <v>1114</v>
      </c>
      <c r="C26" s="5">
        <v>0</v>
      </c>
      <c r="D26" s="5">
        <v>1</v>
      </c>
      <c r="E26" s="5">
        <v>10</v>
      </c>
      <c r="F26" s="5">
        <v>65.489999999999995</v>
      </c>
      <c r="G26" s="5" t="s">
        <v>1244</v>
      </c>
      <c r="H26" s="5" t="s">
        <v>1264</v>
      </c>
    </row>
    <row r="27" spans="1:8" ht="27" x14ac:dyDescent="0.25">
      <c r="A27" s="5" t="str">
        <f>"17/07/2025"</f>
        <v>17/07/2025</v>
      </c>
      <c r="B27" s="5" t="s">
        <v>1114</v>
      </c>
      <c r="C27" s="5">
        <v>0</v>
      </c>
      <c r="D27" s="5">
        <v>1</v>
      </c>
      <c r="E27" s="5">
        <v>9</v>
      </c>
      <c r="F27" s="5">
        <v>65.489999999999995</v>
      </c>
      <c r="G27" s="5" t="s">
        <v>1244</v>
      </c>
      <c r="H27" s="5" t="s">
        <v>1265</v>
      </c>
    </row>
    <row r="28" spans="1:8" ht="27" x14ac:dyDescent="0.25">
      <c r="A28" s="5" t="str">
        <f>"17/07/2025"</f>
        <v>17/07/2025</v>
      </c>
      <c r="B28" s="5" t="s">
        <v>1114</v>
      </c>
      <c r="C28" s="5">
        <v>0</v>
      </c>
      <c r="D28" s="5">
        <v>1</v>
      </c>
      <c r="E28" s="5">
        <v>8</v>
      </c>
      <c r="F28" s="5">
        <v>65.489999999999995</v>
      </c>
      <c r="G28" s="5" t="s">
        <v>1244</v>
      </c>
      <c r="H28" s="5" t="s">
        <v>1266</v>
      </c>
    </row>
    <row r="29" spans="1:8" ht="27" x14ac:dyDescent="0.25">
      <c r="A29" s="5" t="str">
        <f>"17/07/2025"</f>
        <v>17/07/2025</v>
      </c>
      <c r="B29" s="5" t="s">
        <v>1114</v>
      </c>
      <c r="C29" s="5">
        <v>0</v>
      </c>
      <c r="D29" s="5">
        <v>1</v>
      </c>
      <c r="E29" s="5">
        <v>7</v>
      </c>
      <c r="F29" s="5">
        <v>65.489999999999995</v>
      </c>
      <c r="G29" s="5" t="s">
        <v>1244</v>
      </c>
      <c r="H29" s="5" t="s">
        <v>1267</v>
      </c>
    </row>
    <row r="30" spans="1:8" ht="27" x14ac:dyDescent="0.25">
      <c r="A30" s="5" t="str">
        <f>"17/07/2025"</f>
        <v>17/07/2025</v>
      </c>
      <c r="B30" s="5" t="s">
        <v>1114</v>
      </c>
      <c r="C30" s="5">
        <v>0</v>
      </c>
      <c r="D30" s="5">
        <v>1</v>
      </c>
      <c r="E30" s="5">
        <v>6</v>
      </c>
      <c r="F30" s="5">
        <v>65.489999999999995</v>
      </c>
      <c r="G30" s="5" t="s">
        <v>1244</v>
      </c>
      <c r="H30" s="5" t="s">
        <v>1268</v>
      </c>
    </row>
    <row r="31" spans="1:8" ht="27" x14ac:dyDescent="0.25">
      <c r="A31" s="5" t="str">
        <f>"18/07/2025"</f>
        <v>18/07/2025</v>
      </c>
      <c r="B31" s="5" t="s">
        <v>1114</v>
      </c>
      <c r="C31" s="5">
        <v>0</v>
      </c>
      <c r="D31" s="5">
        <v>1</v>
      </c>
      <c r="E31" s="5">
        <v>5</v>
      </c>
      <c r="F31" s="5">
        <v>65.489999999999995</v>
      </c>
      <c r="G31" s="5" t="s">
        <v>1244</v>
      </c>
      <c r="H31" s="5" t="s">
        <v>1269</v>
      </c>
    </row>
    <row r="32" spans="1:8" ht="27" x14ac:dyDescent="0.25">
      <c r="A32" s="5" t="str">
        <f>"18/07/2025"</f>
        <v>18/07/2025</v>
      </c>
      <c r="B32" s="5" t="s">
        <v>1114</v>
      </c>
      <c r="C32" s="5">
        <v>0</v>
      </c>
      <c r="D32" s="5">
        <v>1</v>
      </c>
      <c r="E32" s="5">
        <v>4</v>
      </c>
      <c r="F32" s="5">
        <v>65.489999999999995</v>
      </c>
      <c r="G32" s="5" t="s">
        <v>1244</v>
      </c>
      <c r="H32" s="5" t="s">
        <v>1270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084F8-7A2A-4AEF-B18D-EE681D63F303}">
  <dimension ref="A1:K15"/>
  <sheetViews>
    <sheetView workbookViewId="0">
      <selection activeCell="C4" sqref="C4:I4"/>
    </sheetView>
  </sheetViews>
  <sheetFormatPr baseColWidth="10" defaultRowHeight="15" x14ac:dyDescent="0.25"/>
  <cols>
    <col min="1" max="1" width="10.140625" customWidth="1"/>
    <col min="2" max="2" width="20.7109375" customWidth="1"/>
    <col min="3" max="3" width="9" customWidth="1"/>
    <col min="4" max="4" width="7.5703125" customWidth="1"/>
    <col min="5" max="5" width="7" customWidth="1"/>
    <col min="6" max="6" width="21" customWidth="1"/>
    <col min="7" max="7" width="28.7109375" customWidth="1"/>
    <col min="8" max="8" width="23" customWidth="1"/>
    <col min="9" max="9" width="17.7109375" customWidth="1"/>
    <col min="10" max="10" width="18.5703125" customWidth="1"/>
    <col min="11" max="11" width="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"8022297056753"</f>
        <v>8022297056753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"8022297056753"</f>
        <v>8022297056753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19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2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"24/06/2025"</f>
        <v>24/06/2025</v>
      </c>
      <c r="B10" s="5" t="s">
        <v>1102</v>
      </c>
      <c r="C10" s="5">
        <v>0</v>
      </c>
      <c r="D10" s="5">
        <v>4</v>
      </c>
      <c r="E10" s="5">
        <v>15</v>
      </c>
      <c r="F10" s="5">
        <v>9.8000000000000007</v>
      </c>
      <c r="G10" s="5" t="s">
        <v>1271</v>
      </c>
      <c r="H10" s="5" t="s">
        <v>1272</v>
      </c>
    </row>
    <row r="11" spans="1:11" ht="27" x14ac:dyDescent="0.25">
      <c r="A11" s="5" t="str">
        <f>"25/06/2025"</f>
        <v>25/06/2025</v>
      </c>
      <c r="B11" s="5" t="s">
        <v>1102</v>
      </c>
      <c r="C11" s="5">
        <v>0</v>
      </c>
      <c r="D11" s="5">
        <v>3</v>
      </c>
      <c r="E11" s="5">
        <v>12</v>
      </c>
      <c r="F11" s="5">
        <v>12.81</v>
      </c>
      <c r="G11" s="5" t="s">
        <v>1273</v>
      </c>
      <c r="H11" s="5" t="s">
        <v>1274</v>
      </c>
    </row>
    <row r="12" spans="1:11" ht="27" x14ac:dyDescent="0.25">
      <c r="A12" s="5" t="str">
        <f>"29/06/2025"</f>
        <v>29/06/2025</v>
      </c>
      <c r="B12" s="5" t="s">
        <v>1102</v>
      </c>
      <c r="C12" s="5">
        <v>0</v>
      </c>
      <c r="D12" s="5">
        <v>1</v>
      </c>
      <c r="E12" s="5">
        <v>11</v>
      </c>
      <c r="F12" s="5">
        <v>12.81</v>
      </c>
      <c r="G12" s="5" t="s">
        <v>1273</v>
      </c>
      <c r="H12" s="5" t="s">
        <v>1275</v>
      </c>
    </row>
    <row r="13" spans="1:11" ht="27" x14ac:dyDescent="0.25">
      <c r="A13" s="5" t="str">
        <f>"30/06/2025"</f>
        <v>30/06/2025</v>
      </c>
      <c r="B13" s="5" t="s">
        <v>1129</v>
      </c>
      <c r="C13" s="5">
        <v>0</v>
      </c>
      <c r="D13" s="5">
        <v>6</v>
      </c>
      <c r="E13" s="5">
        <v>5</v>
      </c>
      <c r="F13" s="5">
        <v>12.81</v>
      </c>
      <c r="G13" s="5" t="s">
        <v>1273</v>
      </c>
      <c r="H13" s="5" t="s">
        <v>1276</v>
      </c>
    </row>
    <row r="14" spans="1:11" ht="27" x14ac:dyDescent="0.25">
      <c r="A14" s="5" t="str">
        <f>"11/07/2025"</f>
        <v>11/07/2025</v>
      </c>
      <c r="B14" s="5" t="s">
        <v>1170</v>
      </c>
      <c r="C14" s="5">
        <v>0</v>
      </c>
      <c r="D14" s="5">
        <v>1</v>
      </c>
      <c r="E14" s="5">
        <v>4</v>
      </c>
      <c r="F14" s="5">
        <v>12.81</v>
      </c>
      <c r="G14" s="5" t="s">
        <v>1273</v>
      </c>
      <c r="H14" s="5" t="s">
        <v>1277</v>
      </c>
    </row>
    <row r="15" spans="1:11" ht="27" x14ac:dyDescent="0.25">
      <c r="A15" s="5" t="str">
        <f>"15/07/2025"</f>
        <v>15/07/2025</v>
      </c>
      <c r="B15" s="5" t="s">
        <v>1129</v>
      </c>
      <c r="C15" s="5">
        <v>0</v>
      </c>
      <c r="D15" s="5">
        <v>2</v>
      </c>
      <c r="E15" s="5">
        <v>2</v>
      </c>
      <c r="F15" s="5">
        <v>12.81</v>
      </c>
      <c r="G15" s="5" t="s">
        <v>1273</v>
      </c>
      <c r="H15" s="5" t="s">
        <v>1278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3E2E-578A-463C-A181-C313A4FDF4BF}">
  <dimension ref="A1:K22"/>
  <sheetViews>
    <sheetView workbookViewId="0">
      <selection activeCell="C5" sqref="C5:I5"/>
    </sheetView>
  </sheetViews>
  <sheetFormatPr baseColWidth="10" defaultRowHeight="15" x14ac:dyDescent="0.25"/>
  <cols>
    <col min="1" max="1" width="11.42578125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19.85546875" customWidth="1"/>
    <col min="8" max="8" width="33.140625" customWidth="1"/>
    <col min="9" max="9" width="26.5703125" customWidth="1"/>
    <col min="10" max="10" width="14.85546875" customWidth="1"/>
    <col min="11" max="11" width="20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17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"4064666580098"</f>
        <v>4064666580098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"4064666580098"</f>
        <v>4064666580098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16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16</v>
      </c>
      <c r="D10" s="5">
        <v>0</v>
      </c>
      <c r="E10" s="5">
        <v>16</v>
      </c>
      <c r="F10" s="5">
        <v>48.95</v>
      </c>
      <c r="G10" s="5" t="s">
        <v>1244</v>
      </c>
      <c r="H10" s="6"/>
    </row>
    <row r="11" spans="1:11" ht="27" x14ac:dyDescent="0.25">
      <c r="A11" s="5" t="str">
        <f>"07/07/2025"</f>
        <v>07/07/2025</v>
      </c>
      <c r="B11" s="5" t="s">
        <v>1114</v>
      </c>
      <c r="C11" s="5">
        <v>0</v>
      </c>
      <c r="D11" s="5">
        <v>3</v>
      </c>
      <c r="E11" s="5">
        <v>13</v>
      </c>
      <c r="F11" s="5">
        <v>48.95</v>
      </c>
      <c r="G11" s="5" t="s">
        <v>1244</v>
      </c>
      <c r="H11" s="5" t="s">
        <v>1249</v>
      </c>
      <c r="I11" s="5" t="s">
        <v>1250</v>
      </c>
      <c r="J11" s="5" t="s">
        <v>1251</v>
      </c>
      <c r="K11" s="5" t="s">
        <v>1252</v>
      </c>
    </row>
    <row r="12" spans="1:11" ht="27" x14ac:dyDescent="0.25">
      <c r="A12" s="5" t="str">
        <f>"08/07/2025"</f>
        <v>08/07/2025</v>
      </c>
      <c r="B12" s="5" t="s">
        <v>1105</v>
      </c>
      <c r="C12" s="5">
        <v>0</v>
      </c>
      <c r="D12" s="5">
        <v>1</v>
      </c>
      <c r="E12" s="5">
        <v>12</v>
      </c>
      <c r="F12" s="5">
        <v>48.95</v>
      </c>
      <c r="G12" s="5" t="s">
        <v>1244</v>
      </c>
      <c r="H12" s="5" t="s">
        <v>1279</v>
      </c>
    </row>
    <row r="13" spans="1:11" ht="27" x14ac:dyDescent="0.25">
      <c r="A13" s="5" t="str">
        <f>"09/07/2025"</f>
        <v>09/07/2025</v>
      </c>
      <c r="B13" s="5" t="s">
        <v>1178</v>
      </c>
      <c r="C13" s="5">
        <v>0</v>
      </c>
      <c r="D13" s="5">
        <v>4</v>
      </c>
      <c r="E13" s="5">
        <v>8</v>
      </c>
      <c r="F13" s="5">
        <v>48.95</v>
      </c>
      <c r="G13" s="5" t="s">
        <v>1244</v>
      </c>
      <c r="H13" s="5" t="s">
        <v>1253</v>
      </c>
      <c r="I13" s="5" t="s">
        <v>1254</v>
      </c>
      <c r="J13" s="6"/>
      <c r="K13" s="6"/>
    </row>
    <row r="14" spans="1:11" ht="27" x14ac:dyDescent="0.25">
      <c r="A14" s="5" t="str">
        <f>"14/07/2025"</f>
        <v>14/07/2025</v>
      </c>
      <c r="B14" s="5" t="s">
        <v>1105</v>
      </c>
      <c r="C14" s="5">
        <v>0</v>
      </c>
      <c r="D14" s="5">
        <v>1</v>
      </c>
      <c r="E14" s="5">
        <v>7</v>
      </c>
      <c r="F14" s="5">
        <v>48.95</v>
      </c>
      <c r="G14" s="5" t="s">
        <v>1244</v>
      </c>
      <c r="H14" s="5" t="s">
        <v>1280</v>
      </c>
    </row>
    <row r="15" spans="1:11" ht="27" x14ac:dyDescent="0.25">
      <c r="A15" s="5" t="str">
        <f>"14/07/2025"</f>
        <v>14/07/2025</v>
      </c>
      <c r="B15" s="5" t="s">
        <v>1105</v>
      </c>
      <c r="C15" s="5">
        <v>0</v>
      </c>
      <c r="D15" s="5">
        <v>1</v>
      </c>
      <c r="E15" s="5">
        <v>6</v>
      </c>
      <c r="F15" s="5">
        <v>48.95</v>
      </c>
      <c r="G15" s="5" t="s">
        <v>1244</v>
      </c>
      <c r="H15" s="5" t="s">
        <v>1281</v>
      </c>
    </row>
    <row r="16" spans="1:11" ht="27" x14ac:dyDescent="0.25">
      <c r="A16" s="5" t="str">
        <f>"14/07/2025"</f>
        <v>14/07/2025</v>
      </c>
      <c r="B16" s="5" t="s">
        <v>1105</v>
      </c>
      <c r="C16" s="5">
        <v>0</v>
      </c>
      <c r="D16" s="5">
        <v>1</v>
      </c>
      <c r="E16" s="5">
        <v>5</v>
      </c>
      <c r="F16" s="5">
        <v>48.95</v>
      </c>
      <c r="G16" s="5" t="s">
        <v>1244</v>
      </c>
      <c r="H16" s="5" t="s">
        <v>1282</v>
      </c>
    </row>
    <row r="17" spans="1:8" ht="27" x14ac:dyDescent="0.25">
      <c r="A17" s="5" t="str">
        <f>"14/07/2025"</f>
        <v>14/07/2025</v>
      </c>
      <c r="B17" s="5" t="s">
        <v>1114</v>
      </c>
      <c r="C17" s="5">
        <v>0</v>
      </c>
      <c r="D17" s="5">
        <v>1</v>
      </c>
      <c r="E17" s="5">
        <v>4</v>
      </c>
      <c r="F17" s="5">
        <v>48.95</v>
      </c>
      <c r="G17" s="5" t="s">
        <v>1244</v>
      </c>
      <c r="H17" s="5" t="s">
        <v>1259</v>
      </c>
    </row>
    <row r="18" spans="1:8" ht="27" x14ac:dyDescent="0.25">
      <c r="A18" s="5" t="str">
        <f>"15/07/2025"</f>
        <v>15/07/2025</v>
      </c>
      <c r="B18" s="5" t="s">
        <v>1114</v>
      </c>
      <c r="C18" s="5">
        <v>0</v>
      </c>
      <c r="D18" s="5">
        <v>1</v>
      </c>
      <c r="E18" s="5">
        <v>3</v>
      </c>
      <c r="F18" s="5">
        <v>48.95</v>
      </c>
      <c r="G18" s="5" t="s">
        <v>1244</v>
      </c>
      <c r="H18" s="5" t="s">
        <v>1283</v>
      </c>
    </row>
    <row r="19" spans="1:8" ht="27" x14ac:dyDescent="0.25">
      <c r="A19" s="5" t="str">
        <f>"16/07/2025"</f>
        <v>16/07/2025</v>
      </c>
      <c r="B19" s="5" t="s">
        <v>1114</v>
      </c>
      <c r="C19" s="5">
        <v>0</v>
      </c>
      <c r="D19" s="5">
        <v>1</v>
      </c>
      <c r="E19" s="5">
        <v>2</v>
      </c>
      <c r="F19" s="5">
        <v>48.95</v>
      </c>
      <c r="G19" s="5" t="s">
        <v>1244</v>
      </c>
      <c r="H19" s="5" t="s">
        <v>1284</v>
      </c>
    </row>
    <row r="20" spans="1:8" ht="27" x14ac:dyDescent="0.25">
      <c r="A20" s="5" t="str">
        <f>"18/07/2025"</f>
        <v>18/07/2025</v>
      </c>
      <c r="B20" s="5" t="s">
        <v>1114</v>
      </c>
      <c r="C20" s="5">
        <v>0</v>
      </c>
      <c r="D20" s="5">
        <v>1</v>
      </c>
      <c r="E20" s="5">
        <v>1</v>
      </c>
      <c r="F20" s="5">
        <v>48.95</v>
      </c>
      <c r="G20" s="5" t="s">
        <v>1244</v>
      </c>
      <c r="H20" s="5" t="s">
        <v>1285</v>
      </c>
    </row>
    <row r="21" spans="1:8" ht="27" x14ac:dyDescent="0.25">
      <c r="A21" s="5" t="str">
        <f>"18/07/2025"</f>
        <v>18/07/2025</v>
      </c>
      <c r="B21" s="5" t="s">
        <v>1102</v>
      </c>
      <c r="C21" s="5">
        <v>0</v>
      </c>
      <c r="D21" s="5">
        <v>1</v>
      </c>
      <c r="E21" s="5">
        <v>0</v>
      </c>
      <c r="F21" s="5">
        <v>48.95</v>
      </c>
      <c r="G21" s="5" t="s">
        <v>1244</v>
      </c>
      <c r="H21" s="5" t="s">
        <v>1286</v>
      </c>
    </row>
    <row r="22" spans="1:8" ht="27" x14ac:dyDescent="0.25">
      <c r="A22" s="5" t="str">
        <f>"18/07/2025"</f>
        <v>18/07/2025</v>
      </c>
      <c r="B22" s="5" t="s">
        <v>1114</v>
      </c>
      <c r="C22" s="5">
        <v>16</v>
      </c>
      <c r="D22" s="5">
        <v>0</v>
      </c>
      <c r="E22" s="5">
        <v>16</v>
      </c>
      <c r="F22" s="5">
        <v>48.95</v>
      </c>
      <c r="G22" s="5" t="s">
        <v>1287</v>
      </c>
      <c r="H22" s="6"/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AFCCD9-0980-4C0E-958E-0B862A86762B}">
  <dimension ref="A1:K27"/>
  <sheetViews>
    <sheetView workbookViewId="0">
      <selection activeCell="C4" sqref="C4:I4"/>
    </sheetView>
  </sheetViews>
  <sheetFormatPr baseColWidth="10" defaultRowHeight="15" x14ac:dyDescent="0.25"/>
  <cols>
    <col min="1" max="1" width="11.5703125" customWidth="1"/>
    <col min="2" max="2" width="22.42578125" customWidth="1"/>
    <col min="3" max="3" width="9" customWidth="1"/>
    <col min="4" max="4" width="7.42578125" customWidth="1"/>
    <col min="5" max="5" width="6.85546875" customWidth="1"/>
    <col min="6" max="6" width="20.85546875" customWidth="1"/>
    <col min="7" max="7" width="28.7109375" customWidth="1"/>
    <col min="8" max="8" width="23" customWidth="1"/>
    <col min="9" max="9" width="17.7109375" customWidth="1"/>
    <col min="10" max="10" width="18.42578125" customWidth="1"/>
    <col min="11" max="11" width="25.140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"7899884208366"</f>
        <v>7899884208366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"ALFA0000000014"</f>
        <v>ALFA0000000014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7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14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"24/06/2025"</f>
        <v>24/06/2025</v>
      </c>
      <c r="B10" s="5" t="s">
        <v>1114</v>
      </c>
      <c r="C10" s="5">
        <v>0</v>
      </c>
      <c r="D10" s="5">
        <v>1</v>
      </c>
      <c r="E10" s="5">
        <v>6</v>
      </c>
      <c r="F10" s="5">
        <v>13.88</v>
      </c>
      <c r="G10" s="5" t="s">
        <v>1288</v>
      </c>
      <c r="H10" s="5" t="s">
        <v>1289</v>
      </c>
    </row>
    <row r="11" spans="1:11" ht="27" x14ac:dyDescent="0.25">
      <c r="A11" s="5" t="str">
        <f>"24/06/2025"</f>
        <v>24/06/2025</v>
      </c>
      <c r="B11" s="5" t="s">
        <v>1108</v>
      </c>
      <c r="C11" s="5">
        <v>0</v>
      </c>
      <c r="D11" s="5">
        <v>1</v>
      </c>
      <c r="E11" s="5">
        <v>5</v>
      </c>
      <c r="F11" s="5">
        <v>13.88</v>
      </c>
      <c r="G11" s="5" t="s">
        <v>1288</v>
      </c>
      <c r="H11" s="5" t="s">
        <v>1290</v>
      </c>
    </row>
    <row r="12" spans="1:11" ht="27" x14ac:dyDescent="0.25">
      <c r="A12" s="5" t="str">
        <f>"24/06/2025"</f>
        <v>24/06/2025</v>
      </c>
      <c r="B12" s="5" t="s">
        <v>1102</v>
      </c>
      <c r="C12" s="5">
        <v>0</v>
      </c>
      <c r="D12" s="5">
        <v>1</v>
      </c>
      <c r="E12" s="5">
        <v>4</v>
      </c>
      <c r="F12" s="5">
        <v>13.88</v>
      </c>
      <c r="G12" s="5" t="s">
        <v>1288</v>
      </c>
      <c r="H12" s="5" t="s">
        <v>1272</v>
      </c>
    </row>
    <row r="13" spans="1:11" ht="27" x14ac:dyDescent="0.25">
      <c r="A13" s="5" t="str">
        <f>"24/06/2025"</f>
        <v>24/06/2025</v>
      </c>
      <c r="B13" s="5" t="s">
        <v>1114</v>
      </c>
      <c r="C13" s="5">
        <v>0</v>
      </c>
      <c r="D13" s="5">
        <v>4</v>
      </c>
      <c r="E13" s="5">
        <v>0</v>
      </c>
      <c r="F13" s="5">
        <v>13.88</v>
      </c>
      <c r="G13" s="5" t="s">
        <v>1288</v>
      </c>
      <c r="H13" s="5" t="s">
        <v>1291</v>
      </c>
    </row>
    <row r="14" spans="1:11" ht="27" x14ac:dyDescent="0.25">
      <c r="A14" s="5" t="str">
        <f>"26/06/2025"</f>
        <v>26/06/2025</v>
      </c>
      <c r="B14" s="5" t="s">
        <v>1114</v>
      </c>
      <c r="C14" s="5">
        <v>12</v>
      </c>
      <c r="D14" s="5">
        <v>0</v>
      </c>
      <c r="E14" s="5">
        <v>12</v>
      </c>
      <c r="F14" s="5">
        <v>13.88</v>
      </c>
      <c r="G14" s="5" t="s">
        <v>1292</v>
      </c>
      <c r="H14" s="6"/>
    </row>
    <row r="15" spans="1:11" ht="27" x14ac:dyDescent="0.25">
      <c r="A15" s="5" t="str">
        <f>"26/06/2025"</f>
        <v>26/06/2025</v>
      </c>
      <c r="B15" s="5" t="s">
        <v>1114</v>
      </c>
      <c r="C15" s="5">
        <v>0</v>
      </c>
      <c r="D15" s="5">
        <v>12</v>
      </c>
      <c r="E15" s="5">
        <v>0</v>
      </c>
      <c r="F15" s="5">
        <v>13.88</v>
      </c>
      <c r="G15" s="5" t="s">
        <v>1292</v>
      </c>
      <c r="H15" s="5" t="s">
        <v>1293</v>
      </c>
    </row>
    <row r="16" spans="1:11" ht="27" x14ac:dyDescent="0.25">
      <c r="A16" s="5" t="str">
        <f>"26/06/2025"</f>
        <v>26/06/2025</v>
      </c>
      <c r="B16" s="5" t="s">
        <v>1114</v>
      </c>
      <c r="C16" s="5">
        <v>12</v>
      </c>
      <c r="D16" s="5">
        <v>0</v>
      </c>
      <c r="E16" s="5">
        <v>12</v>
      </c>
      <c r="F16" s="5">
        <v>13.88</v>
      </c>
      <c r="G16" s="5" t="s">
        <v>1292</v>
      </c>
      <c r="H16" s="6"/>
    </row>
    <row r="17" spans="1:8" ht="27" x14ac:dyDescent="0.25">
      <c r="A17" s="5" t="str">
        <f>"01/07/2025"</f>
        <v>01/07/2025</v>
      </c>
      <c r="B17" s="5" t="s">
        <v>1102</v>
      </c>
      <c r="C17" s="5">
        <v>0</v>
      </c>
      <c r="D17" s="5">
        <v>1</v>
      </c>
      <c r="E17" s="5">
        <v>11</v>
      </c>
      <c r="F17" s="5">
        <v>13.88</v>
      </c>
      <c r="G17" s="5" t="s">
        <v>1292</v>
      </c>
      <c r="H17" s="5" t="s">
        <v>1294</v>
      </c>
    </row>
    <row r="18" spans="1:8" ht="27" x14ac:dyDescent="0.25">
      <c r="A18" s="5" t="str">
        <f>"01/07/2025"</f>
        <v>01/07/2025</v>
      </c>
      <c r="B18" s="5" t="s">
        <v>1129</v>
      </c>
      <c r="C18" s="5">
        <v>0</v>
      </c>
      <c r="D18" s="5">
        <v>1</v>
      </c>
      <c r="E18" s="5">
        <v>10</v>
      </c>
      <c r="F18" s="5">
        <v>13.88</v>
      </c>
      <c r="G18" s="5" t="s">
        <v>1292</v>
      </c>
      <c r="H18" s="5" t="s">
        <v>1295</v>
      </c>
    </row>
    <row r="19" spans="1:8" ht="27" x14ac:dyDescent="0.25">
      <c r="A19" s="5" t="str">
        <f>"02/07/2025"</f>
        <v>02/07/2025</v>
      </c>
      <c r="B19" s="5" t="s">
        <v>1102</v>
      </c>
      <c r="C19" s="5">
        <v>0</v>
      </c>
      <c r="D19" s="5">
        <v>1</v>
      </c>
      <c r="E19" s="5">
        <v>9</v>
      </c>
      <c r="F19" s="5">
        <v>13.88</v>
      </c>
      <c r="G19" s="5" t="s">
        <v>1292</v>
      </c>
      <c r="H19" s="5" t="s">
        <v>1296</v>
      </c>
    </row>
    <row r="20" spans="1:8" ht="27" x14ac:dyDescent="0.25">
      <c r="A20" s="5" t="str">
        <f>"02/07/2025"</f>
        <v>02/07/2025</v>
      </c>
      <c r="B20" s="5" t="s">
        <v>1102</v>
      </c>
      <c r="C20" s="5">
        <v>0</v>
      </c>
      <c r="D20" s="5">
        <v>1</v>
      </c>
      <c r="E20" s="5">
        <v>8</v>
      </c>
      <c r="F20" s="5">
        <v>13.88</v>
      </c>
      <c r="G20" s="5" t="s">
        <v>1292</v>
      </c>
      <c r="H20" s="5" t="s">
        <v>1297</v>
      </c>
    </row>
    <row r="21" spans="1:8" ht="27" x14ac:dyDescent="0.25">
      <c r="A21" s="5" t="str">
        <f>"03/07/2025"</f>
        <v>03/07/2025</v>
      </c>
      <c r="B21" s="5" t="s">
        <v>1102</v>
      </c>
      <c r="C21" s="5">
        <v>0</v>
      </c>
      <c r="D21" s="5">
        <v>1</v>
      </c>
      <c r="E21" s="5">
        <v>7</v>
      </c>
      <c r="F21" s="5">
        <v>13.88</v>
      </c>
      <c r="G21" s="5" t="s">
        <v>1292</v>
      </c>
      <c r="H21" s="5" t="s">
        <v>1298</v>
      </c>
    </row>
    <row r="22" spans="1:8" ht="27" x14ac:dyDescent="0.25">
      <c r="A22" s="5" t="str">
        <f>"09/07/2025"</f>
        <v>09/07/2025</v>
      </c>
      <c r="B22" s="5" t="s">
        <v>1114</v>
      </c>
      <c r="C22" s="5">
        <v>0</v>
      </c>
      <c r="D22" s="5">
        <v>1</v>
      </c>
      <c r="E22" s="5">
        <v>6</v>
      </c>
      <c r="F22" s="5">
        <v>13.88</v>
      </c>
      <c r="G22" s="5" t="s">
        <v>1292</v>
      </c>
      <c r="H22" s="5" t="s">
        <v>1299</v>
      </c>
    </row>
    <row r="23" spans="1:8" ht="27" x14ac:dyDescent="0.25">
      <c r="A23" s="5" t="str">
        <f>"09/07/2025"</f>
        <v>09/07/2025</v>
      </c>
      <c r="B23" s="5" t="s">
        <v>1114</v>
      </c>
      <c r="C23" s="5">
        <v>12</v>
      </c>
      <c r="D23" s="5">
        <v>0</v>
      </c>
      <c r="E23" s="5">
        <v>18</v>
      </c>
      <c r="F23" s="5">
        <v>13.88</v>
      </c>
      <c r="G23" s="5" t="s">
        <v>1300</v>
      </c>
      <c r="H23" s="6"/>
    </row>
    <row r="24" spans="1:8" ht="27" x14ac:dyDescent="0.25">
      <c r="A24" s="5" t="str">
        <f>"10/07/2025"</f>
        <v>10/07/2025</v>
      </c>
      <c r="B24" s="5" t="s">
        <v>1170</v>
      </c>
      <c r="C24" s="5">
        <v>0</v>
      </c>
      <c r="D24" s="5">
        <v>1</v>
      </c>
      <c r="E24" s="5">
        <v>17</v>
      </c>
      <c r="F24" s="5">
        <v>13.88</v>
      </c>
      <c r="G24" s="5" t="s">
        <v>1292</v>
      </c>
      <c r="H24" s="5" t="s">
        <v>1301</v>
      </c>
    </row>
    <row r="25" spans="1:8" ht="27" x14ac:dyDescent="0.25">
      <c r="A25" s="5" t="str">
        <f>"11/07/2025"</f>
        <v>11/07/2025</v>
      </c>
      <c r="B25" s="5" t="s">
        <v>1170</v>
      </c>
      <c r="C25" s="5">
        <v>0</v>
      </c>
      <c r="D25" s="5">
        <v>1</v>
      </c>
      <c r="E25" s="5">
        <v>16</v>
      </c>
      <c r="F25" s="5">
        <v>13.88</v>
      </c>
      <c r="G25" s="5" t="s">
        <v>1292</v>
      </c>
      <c r="H25" s="5" t="s">
        <v>1277</v>
      </c>
    </row>
    <row r="26" spans="1:8" ht="27" x14ac:dyDescent="0.25">
      <c r="A26" s="5" t="str">
        <f>"12/07/2025"</f>
        <v>12/07/2025</v>
      </c>
      <c r="B26" s="5" t="s">
        <v>1102</v>
      </c>
      <c r="C26" s="5">
        <v>0</v>
      </c>
      <c r="D26" s="5">
        <v>1</v>
      </c>
      <c r="E26" s="5">
        <v>15</v>
      </c>
      <c r="F26" s="5">
        <v>13.88</v>
      </c>
      <c r="G26" s="5" t="s">
        <v>1292</v>
      </c>
      <c r="H26" s="5" t="s">
        <v>1302</v>
      </c>
    </row>
    <row r="27" spans="1:8" ht="27" x14ac:dyDescent="0.25">
      <c r="A27" s="5" t="str">
        <f>"19/07/2025"</f>
        <v>19/07/2025</v>
      </c>
      <c r="B27" s="5" t="s">
        <v>1102</v>
      </c>
      <c r="C27" s="5">
        <v>0</v>
      </c>
      <c r="D27" s="5">
        <v>1</v>
      </c>
      <c r="E27" s="5">
        <v>14</v>
      </c>
      <c r="F27" s="5">
        <v>13.88</v>
      </c>
      <c r="G27" s="5" t="s">
        <v>1292</v>
      </c>
      <c r="H27" s="5" t="s">
        <v>1303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6F4C43-8150-4D96-93D2-A5FADF3D4072}">
  <dimension ref="A1:K44"/>
  <sheetViews>
    <sheetView workbookViewId="0">
      <selection activeCell="C4" sqref="C4:I4"/>
    </sheetView>
  </sheetViews>
  <sheetFormatPr baseColWidth="10" defaultRowHeight="15" x14ac:dyDescent="0.25"/>
  <cols>
    <col min="1" max="1" width="10.7109375" customWidth="1"/>
    <col min="2" max="2" width="28.42578125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41.85546875" bestFit="1" customWidth="1"/>
    <col min="8" max="8" width="30.28515625" bestFit="1" customWidth="1"/>
    <col min="9" max="9" width="13.425781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79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"4064666318233"</f>
        <v>4064666318233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"4064666318233"</f>
        <v>4064666318233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16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32</v>
      </c>
      <c r="D10" s="5">
        <v>0</v>
      </c>
      <c r="E10" s="5">
        <v>32</v>
      </c>
      <c r="F10" s="5">
        <v>94.54</v>
      </c>
      <c r="G10" s="5" t="s">
        <v>1304</v>
      </c>
      <c r="H10" s="6"/>
    </row>
    <row r="11" spans="1:11" ht="27" x14ac:dyDescent="0.25">
      <c r="A11" s="5" t="str">
        <f>"03/07/2025"</f>
        <v>03/07/2025</v>
      </c>
      <c r="B11" s="5" t="s">
        <v>1102</v>
      </c>
      <c r="C11" s="5">
        <v>0</v>
      </c>
      <c r="D11" s="5">
        <v>1</v>
      </c>
      <c r="E11" s="5">
        <v>31</v>
      </c>
      <c r="F11" s="5">
        <v>94.54</v>
      </c>
      <c r="G11" s="5" t="s">
        <v>1304</v>
      </c>
      <c r="H11" s="5" t="s">
        <v>1246</v>
      </c>
    </row>
    <row r="12" spans="1:11" ht="27" x14ac:dyDescent="0.25">
      <c r="A12" s="5" t="str">
        <f>"03/07/2025"</f>
        <v>03/07/2025</v>
      </c>
      <c r="B12" s="5" t="s">
        <v>1114</v>
      </c>
      <c r="C12" s="5">
        <v>0</v>
      </c>
      <c r="D12" s="5">
        <v>1</v>
      </c>
      <c r="E12" s="5">
        <v>30</v>
      </c>
      <c r="F12" s="5">
        <v>94.54</v>
      </c>
      <c r="G12" s="5" t="s">
        <v>1304</v>
      </c>
      <c r="H12" s="5" t="s">
        <v>1305</v>
      </c>
    </row>
    <row r="13" spans="1:11" ht="27" x14ac:dyDescent="0.25">
      <c r="A13" s="5" t="str">
        <f>"04/07/2025"</f>
        <v>04/07/2025</v>
      </c>
      <c r="B13" s="5" t="s">
        <v>1102</v>
      </c>
      <c r="C13" s="5">
        <v>0</v>
      </c>
      <c r="D13" s="5">
        <v>1</v>
      </c>
      <c r="E13" s="5">
        <v>29</v>
      </c>
      <c r="F13" s="5">
        <v>94.54</v>
      </c>
      <c r="G13" s="5" t="s">
        <v>1304</v>
      </c>
      <c r="H13" s="5" t="s">
        <v>1306</v>
      </c>
    </row>
    <row r="14" spans="1:11" ht="27" x14ac:dyDescent="0.25">
      <c r="A14" s="5" t="str">
        <f>"06/07/2025"</f>
        <v>06/07/2025</v>
      </c>
      <c r="B14" s="5" t="s">
        <v>1102</v>
      </c>
      <c r="C14" s="5">
        <v>0</v>
      </c>
      <c r="D14" s="5">
        <v>1</v>
      </c>
      <c r="E14" s="5">
        <v>28</v>
      </c>
      <c r="F14" s="5">
        <v>94.54</v>
      </c>
      <c r="G14" s="5" t="s">
        <v>1304</v>
      </c>
      <c r="H14" s="5" t="s">
        <v>1307</v>
      </c>
    </row>
    <row r="15" spans="1:11" ht="27" x14ac:dyDescent="0.25">
      <c r="A15" s="5" t="str">
        <f>"07/07/2025"</f>
        <v>07/07/2025</v>
      </c>
      <c r="B15" s="5" t="s">
        <v>1108</v>
      </c>
      <c r="C15" s="5">
        <v>0</v>
      </c>
      <c r="D15" s="5">
        <v>1</v>
      </c>
      <c r="E15" s="5">
        <v>27</v>
      </c>
      <c r="F15" s="5">
        <v>94.54</v>
      </c>
      <c r="G15" s="5" t="s">
        <v>1304</v>
      </c>
      <c r="H15" s="5" t="s">
        <v>1308</v>
      </c>
    </row>
    <row r="16" spans="1:11" ht="27" x14ac:dyDescent="0.25">
      <c r="A16" s="5" t="str">
        <f>"08/07/2025"</f>
        <v>08/07/2025</v>
      </c>
      <c r="B16" s="5" t="s">
        <v>1129</v>
      </c>
      <c r="C16" s="5">
        <v>0</v>
      </c>
      <c r="D16" s="5">
        <v>1</v>
      </c>
      <c r="E16" s="5">
        <v>26</v>
      </c>
      <c r="F16" s="5">
        <v>94.54</v>
      </c>
      <c r="G16" s="5" t="s">
        <v>1304</v>
      </c>
      <c r="H16" s="5" t="s">
        <v>1309</v>
      </c>
    </row>
    <row r="17" spans="1:8" ht="27" x14ac:dyDescent="0.25">
      <c r="A17" s="5" t="str">
        <f>"08/07/2025"</f>
        <v>08/07/2025</v>
      </c>
      <c r="B17" s="5" t="s">
        <v>1102</v>
      </c>
      <c r="C17" s="5">
        <v>0</v>
      </c>
      <c r="D17" s="5">
        <v>1</v>
      </c>
      <c r="E17" s="5">
        <v>25</v>
      </c>
      <c r="F17" s="5">
        <v>94.54</v>
      </c>
      <c r="G17" s="5" t="s">
        <v>1304</v>
      </c>
      <c r="H17" s="5" t="s">
        <v>1310</v>
      </c>
    </row>
    <row r="18" spans="1:8" ht="27" x14ac:dyDescent="0.25">
      <c r="A18" s="5" t="str">
        <f>"08/07/2025"</f>
        <v>08/07/2025</v>
      </c>
      <c r="B18" s="5" t="s">
        <v>1108</v>
      </c>
      <c r="C18" s="5">
        <v>0</v>
      </c>
      <c r="D18" s="5">
        <v>1</v>
      </c>
      <c r="E18" s="5">
        <v>24</v>
      </c>
      <c r="F18" s="5">
        <v>94.54</v>
      </c>
      <c r="G18" s="5" t="s">
        <v>1304</v>
      </c>
      <c r="H18" s="5" t="s">
        <v>1311</v>
      </c>
    </row>
    <row r="19" spans="1:8" ht="27" x14ac:dyDescent="0.25">
      <c r="A19" s="5" t="str">
        <f>"08/07/2025"</f>
        <v>08/07/2025</v>
      </c>
      <c r="B19" s="5" t="s">
        <v>1114</v>
      </c>
      <c r="C19" s="5">
        <v>0</v>
      </c>
      <c r="D19" s="5">
        <v>1</v>
      </c>
      <c r="E19" s="5">
        <v>23</v>
      </c>
      <c r="F19" s="5">
        <v>94.54</v>
      </c>
      <c r="G19" s="5" t="s">
        <v>1304</v>
      </c>
      <c r="H19" s="5" t="s">
        <v>1312</v>
      </c>
    </row>
    <row r="20" spans="1:8" ht="27" x14ac:dyDescent="0.25">
      <c r="A20" s="5" t="str">
        <f>"09/07/2025"</f>
        <v>09/07/2025</v>
      </c>
      <c r="B20" s="5" t="s">
        <v>1129</v>
      </c>
      <c r="C20" s="5">
        <v>0</v>
      </c>
      <c r="D20" s="5">
        <v>1</v>
      </c>
      <c r="E20" s="5">
        <v>22</v>
      </c>
      <c r="F20" s="5">
        <v>94.54</v>
      </c>
      <c r="G20" s="5" t="s">
        <v>1304</v>
      </c>
      <c r="H20" s="5" t="s">
        <v>1313</v>
      </c>
    </row>
    <row r="21" spans="1:8" ht="27" x14ac:dyDescent="0.25">
      <c r="A21" s="5" t="str">
        <f>"09/07/2025"</f>
        <v>09/07/2025</v>
      </c>
      <c r="B21" s="5" t="s">
        <v>1105</v>
      </c>
      <c r="C21" s="5">
        <v>0</v>
      </c>
      <c r="D21" s="5">
        <v>1</v>
      </c>
      <c r="E21" s="5">
        <v>21</v>
      </c>
      <c r="F21" s="5">
        <v>94.54</v>
      </c>
      <c r="G21" s="5" t="s">
        <v>1304</v>
      </c>
      <c r="H21" s="5" t="s">
        <v>1314</v>
      </c>
    </row>
    <row r="22" spans="1:8" ht="27" x14ac:dyDescent="0.25">
      <c r="A22" s="5" t="str">
        <f>"09/07/2025"</f>
        <v>09/07/2025</v>
      </c>
      <c r="B22" s="5" t="s">
        <v>1105</v>
      </c>
      <c r="C22" s="5">
        <v>0</v>
      </c>
      <c r="D22" s="5">
        <v>1</v>
      </c>
      <c r="E22" s="5">
        <v>20</v>
      </c>
      <c r="F22" s="5">
        <v>94.54</v>
      </c>
      <c r="G22" s="5" t="s">
        <v>1304</v>
      </c>
      <c r="H22" s="5" t="s">
        <v>1314</v>
      </c>
    </row>
    <row r="23" spans="1:8" ht="27" x14ac:dyDescent="0.25">
      <c r="A23" s="5" t="str">
        <f>"09/07/2025"</f>
        <v>09/07/2025</v>
      </c>
      <c r="B23" s="5" t="s">
        <v>1102</v>
      </c>
      <c r="C23" s="5">
        <v>0</v>
      </c>
      <c r="D23" s="5">
        <v>2</v>
      </c>
      <c r="E23" s="5">
        <v>18</v>
      </c>
      <c r="F23" s="5">
        <v>94.54</v>
      </c>
      <c r="G23" s="5" t="s">
        <v>1304</v>
      </c>
      <c r="H23" s="5" t="s">
        <v>1315</v>
      </c>
    </row>
    <row r="24" spans="1:8" ht="27" x14ac:dyDescent="0.25">
      <c r="A24" s="5" t="str">
        <f>"09/07/2025"</f>
        <v>09/07/2025</v>
      </c>
      <c r="B24" s="5" t="s">
        <v>1102</v>
      </c>
      <c r="C24" s="5">
        <v>1</v>
      </c>
      <c r="D24" s="5">
        <v>0</v>
      </c>
      <c r="E24" s="5">
        <v>19</v>
      </c>
      <c r="F24" s="5">
        <v>94.54</v>
      </c>
      <c r="G24" s="5" t="s">
        <v>1316</v>
      </c>
      <c r="H24" s="6"/>
    </row>
    <row r="25" spans="1:8" ht="27" x14ac:dyDescent="0.25">
      <c r="A25" s="5" t="str">
        <f>"10/07/2025"</f>
        <v>10/07/2025</v>
      </c>
      <c r="B25" s="5" t="s">
        <v>1105</v>
      </c>
      <c r="C25" s="5">
        <v>0</v>
      </c>
      <c r="D25" s="5">
        <v>1</v>
      </c>
      <c r="E25" s="5">
        <v>18</v>
      </c>
      <c r="F25" s="5">
        <v>94.54</v>
      </c>
      <c r="G25" s="5" t="s">
        <v>1316</v>
      </c>
      <c r="H25" s="5" t="s">
        <v>1317</v>
      </c>
    </row>
    <row r="26" spans="1:8" ht="27" x14ac:dyDescent="0.25">
      <c r="A26" s="5" t="str">
        <f>"10/07/2025"</f>
        <v>10/07/2025</v>
      </c>
      <c r="B26" s="5" t="s">
        <v>1170</v>
      </c>
      <c r="C26" s="5">
        <v>0</v>
      </c>
      <c r="D26" s="5">
        <v>1</v>
      </c>
      <c r="E26" s="5">
        <v>17</v>
      </c>
      <c r="F26" s="5">
        <v>94.54</v>
      </c>
      <c r="G26" s="5" t="s">
        <v>1304</v>
      </c>
      <c r="H26" s="5" t="s">
        <v>1318</v>
      </c>
    </row>
    <row r="27" spans="1:8" ht="27" x14ac:dyDescent="0.25">
      <c r="A27" s="5" t="str">
        <f>"10/07/2025"</f>
        <v>10/07/2025</v>
      </c>
      <c r="B27" s="5" t="s">
        <v>1129</v>
      </c>
      <c r="C27" s="5">
        <v>0</v>
      </c>
      <c r="D27" s="5">
        <v>1</v>
      </c>
      <c r="E27" s="5">
        <v>16</v>
      </c>
      <c r="F27" s="5">
        <v>94.54</v>
      </c>
      <c r="G27" s="5" t="s">
        <v>1304</v>
      </c>
      <c r="H27" s="5" t="s">
        <v>1319</v>
      </c>
    </row>
    <row r="28" spans="1:8" ht="27" x14ac:dyDescent="0.25">
      <c r="A28" s="5" t="str">
        <f>"11/07/2025"</f>
        <v>11/07/2025</v>
      </c>
      <c r="B28" s="5" t="s">
        <v>1105</v>
      </c>
      <c r="C28" s="5">
        <v>0</v>
      </c>
      <c r="D28" s="5">
        <v>1</v>
      </c>
      <c r="E28" s="5">
        <v>15</v>
      </c>
      <c r="F28" s="5">
        <v>94.54</v>
      </c>
      <c r="G28" s="5" t="s">
        <v>1304</v>
      </c>
      <c r="H28" s="5" t="s">
        <v>1320</v>
      </c>
    </row>
    <row r="29" spans="1:8" ht="27" x14ac:dyDescent="0.25">
      <c r="A29" s="5" t="str">
        <f>"11/07/2025"</f>
        <v>11/07/2025</v>
      </c>
      <c r="B29" s="5" t="s">
        <v>1114</v>
      </c>
      <c r="C29" s="5">
        <v>0</v>
      </c>
      <c r="D29" s="5">
        <v>1</v>
      </c>
      <c r="E29" s="5">
        <v>14</v>
      </c>
      <c r="F29" s="5">
        <v>94.54</v>
      </c>
      <c r="G29" s="5" t="s">
        <v>1304</v>
      </c>
      <c r="H29" s="5" t="s">
        <v>1321</v>
      </c>
    </row>
    <row r="30" spans="1:8" ht="27" x14ac:dyDescent="0.25">
      <c r="A30" s="5" t="str">
        <f>"13/07/2025"</f>
        <v>13/07/2025</v>
      </c>
      <c r="B30" s="5" t="s">
        <v>1102</v>
      </c>
      <c r="C30" s="5">
        <v>0</v>
      </c>
      <c r="D30" s="5">
        <v>1</v>
      </c>
      <c r="E30" s="5">
        <v>13</v>
      </c>
      <c r="F30" s="5">
        <v>94.54</v>
      </c>
      <c r="G30" s="5" t="s">
        <v>1304</v>
      </c>
      <c r="H30" s="5" t="s">
        <v>1322</v>
      </c>
    </row>
    <row r="31" spans="1:8" ht="27" x14ac:dyDescent="0.25">
      <c r="A31" s="5" t="str">
        <f>"13/07/2025"</f>
        <v>13/07/2025</v>
      </c>
      <c r="B31" s="5" t="s">
        <v>1102</v>
      </c>
      <c r="C31" s="5">
        <v>0</v>
      </c>
      <c r="D31" s="5">
        <v>1</v>
      </c>
      <c r="E31" s="5">
        <v>12</v>
      </c>
      <c r="F31" s="5">
        <v>94.54</v>
      </c>
      <c r="G31" s="5" t="s">
        <v>1304</v>
      </c>
      <c r="H31" s="5" t="s">
        <v>1323</v>
      </c>
    </row>
    <row r="32" spans="1:8" ht="27" x14ac:dyDescent="0.25">
      <c r="A32" s="5" t="str">
        <f>"14/07/2025"</f>
        <v>14/07/2025</v>
      </c>
      <c r="B32" s="5" t="s">
        <v>1105</v>
      </c>
      <c r="C32" s="5">
        <v>0</v>
      </c>
      <c r="D32" s="5">
        <v>1</v>
      </c>
      <c r="E32" s="5">
        <v>11</v>
      </c>
      <c r="F32" s="5">
        <v>94.54</v>
      </c>
      <c r="G32" s="5" t="s">
        <v>1304</v>
      </c>
      <c r="H32" s="5" t="s">
        <v>1324</v>
      </c>
    </row>
    <row r="33" spans="1:8" ht="27" x14ac:dyDescent="0.25">
      <c r="A33" s="5" t="str">
        <f>"14/07/2025"</f>
        <v>14/07/2025</v>
      </c>
      <c r="B33" s="5" t="s">
        <v>1105</v>
      </c>
      <c r="C33" s="5">
        <v>0</v>
      </c>
      <c r="D33" s="5">
        <v>1</v>
      </c>
      <c r="E33" s="5">
        <v>10</v>
      </c>
      <c r="F33" s="5">
        <v>94.54</v>
      </c>
      <c r="G33" s="5" t="s">
        <v>1304</v>
      </c>
      <c r="H33" s="5" t="s">
        <v>1325</v>
      </c>
    </row>
    <row r="34" spans="1:8" ht="27" x14ac:dyDescent="0.25">
      <c r="A34" s="5" t="str">
        <f>"14/07/2025"</f>
        <v>14/07/2025</v>
      </c>
      <c r="B34" s="5" t="s">
        <v>1105</v>
      </c>
      <c r="C34" s="5">
        <v>0</v>
      </c>
      <c r="D34" s="5">
        <v>1</v>
      </c>
      <c r="E34" s="5">
        <v>9</v>
      </c>
      <c r="F34" s="5">
        <v>94.54</v>
      </c>
      <c r="G34" s="5" t="s">
        <v>1304</v>
      </c>
      <c r="H34" s="5" t="s">
        <v>1326</v>
      </c>
    </row>
    <row r="35" spans="1:8" ht="27" x14ac:dyDescent="0.25">
      <c r="A35" s="5" t="str">
        <f>"14/07/2025"</f>
        <v>14/07/2025</v>
      </c>
      <c r="B35" s="5" t="s">
        <v>1114</v>
      </c>
      <c r="C35" s="5">
        <v>0</v>
      </c>
      <c r="D35" s="5">
        <v>1</v>
      </c>
      <c r="E35" s="5">
        <v>8</v>
      </c>
      <c r="F35" s="5">
        <v>94.54</v>
      </c>
      <c r="G35" s="5" t="s">
        <v>1304</v>
      </c>
      <c r="H35" s="5" t="s">
        <v>1259</v>
      </c>
    </row>
    <row r="36" spans="1:8" ht="27" x14ac:dyDescent="0.25">
      <c r="A36" s="5" t="str">
        <f>"15/07/2025"</f>
        <v>15/07/2025</v>
      </c>
      <c r="B36" s="5" t="s">
        <v>1114</v>
      </c>
      <c r="C36" s="5">
        <v>0</v>
      </c>
      <c r="D36" s="5">
        <v>1</v>
      </c>
      <c r="E36" s="5">
        <v>7</v>
      </c>
      <c r="F36" s="5">
        <v>94.54</v>
      </c>
      <c r="G36" s="5" t="s">
        <v>1304</v>
      </c>
      <c r="H36" s="5" t="s">
        <v>1327</v>
      </c>
    </row>
    <row r="37" spans="1:8" ht="27" x14ac:dyDescent="0.25">
      <c r="A37" s="5" t="str">
        <f>"15/07/2025"</f>
        <v>15/07/2025</v>
      </c>
      <c r="B37" s="5" t="s">
        <v>1129</v>
      </c>
      <c r="C37" s="5">
        <v>0</v>
      </c>
      <c r="D37" s="5">
        <v>1</v>
      </c>
      <c r="E37" s="5">
        <v>6</v>
      </c>
      <c r="F37" s="5">
        <v>94.54</v>
      </c>
      <c r="G37" s="5" t="s">
        <v>1304</v>
      </c>
      <c r="H37" s="5" t="s">
        <v>1328</v>
      </c>
    </row>
    <row r="38" spans="1:8" ht="27" x14ac:dyDescent="0.25">
      <c r="A38" s="5" t="str">
        <f>"15/07/2025"</f>
        <v>15/07/2025</v>
      </c>
      <c r="B38" s="5" t="s">
        <v>1102</v>
      </c>
      <c r="C38" s="5">
        <v>0</v>
      </c>
      <c r="D38" s="5">
        <v>1</v>
      </c>
      <c r="E38" s="5">
        <v>5</v>
      </c>
      <c r="F38" s="5">
        <v>94.54</v>
      </c>
      <c r="G38" s="5" t="s">
        <v>1304</v>
      </c>
      <c r="H38" s="5" t="s">
        <v>1329</v>
      </c>
    </row>
    <row r="39" spans="1:8" ht="27" x14ac:dyDescent="0.25">
      <c r="A39" s="5" t="str">
        <f>"16/07/2025"</f>
        <v>16/07/2025</v>
      </c>
      <c r="B39" s="5" t="s">
        <v>1114</v>
      </c>
      <c r="C39" s="5">
        <v>0</v>
      </c>
      <c r="D39" s="5">
        <v>1</v>
      </c>
      <c r="E39" s="5">
        <v>4</v>
      </c>
      <c r="F39" s="5">
        <v>94.54</v>
      </c>
      <c r="G39" s="5" t="s">
        <v>1304</v>
      </c>
      <c r="H39" s="5" t="s">
        <v>1330</v>
      </c>
    </row>
    <row r="40" spans="1:8" ht="27" x14ac:dyDescent="0.25">
      <c r="A40" s="5" t="str">
        <f>"16/07/2025"</f>
        <v>16/07/2025</v>
      </c>
      <c r="B40" s="5" t="s">
        <v>1114</v>
      </c>
      <c r="C40" s="5">
        <v>0</v>
      </c>
      <c r="D40" s="5">
        <v>1</v>
      </c>
      <c r="E40" s="5">
        <v>3</v>
      </c>
      <c r="F40" s="5">
        <v>94.54</v>
      </c>
      <c r="G40" s="5" t="s">
        <v>1304</v>
      </c>
      <c r="H40" s="5" t="s">
        <v>1331</v>
      </c>
    </row>
    <row r="41" spans="1:8" ht="27" x14ac:dyDescent="0.25">
      <c r="A41" s="5" t="str">
        <f>"17/07/2025"</f>
        <v>17/07/2025</v>
      </c>
      <c r="B41" s="5" t="s">
        <v>1114</v>
      </c>
      <c r="C41" s="5">
        <v>16</v>
      </c>
      <c r="D41" s="5">
        <v>0</v>
      </c>
      <c r="E41" s="5">
        <v>19</v>
      </c>
      <c r="F41" s="5">
        <v>94.54</v>
      </c>
      <c r="G41" s="5" t="s">
        <v>1332</v>
      </c>
      <c r="H41" s="6"/>
    </row>
    <row r="42" spans="1:8" ht="27" x14ac:dyDescent="0.25">
      <c r="A42" s="5" t="str">
        <f>"17/07/2025"</f>
        <v>17/07/2025</v>
      </c>
      <c r="B42" s="5" t="s">
        <v>1114</v>
      </c>
      <c r="C42" s="5">
        <v>0</v>
      </c>
      <c r="D42" s="5">
        <v>1</v>
      </c>
      <c r="E42" s="5">
        <v>18</v>
      </c>
      <c r="F42" s="5">
        <v>94.54</v>
      </c>
      <c r="G42" s="5" t="s">
        <v>1304</v>
      </c>
      <c r="H42" s="5" t="s">
        <v>1333</v>
      </c>
    </row>
    <row r="43" spans="1:8" ht="27" x14ac:dyDescent="0.25">
      <c r="A43" s="5" t="str">
        <f>"18/07/2025"</f>
        <v>18/07/2025</v>
      </c>
      <c r="B43" s="5" t="s">
        <v>1102</v>
      </c>
      <c r="C43" s="5">
        <v>0</v>
      </c>
      <c r="D43" s="5">
        <v>1</v>
      </c>
      <c r="E43" s="5">
        <v>17</v>
      </c>
      <c r="F43" s="5">
        <v>94.54</v>
      </c>
      <c r="G43" s="5" t="s">
        <v>1304</v>
      </c>
      <c r="H43" s="5" t="s">
        <v>1334</v>
      </c>
    </row>
    <row r="44" spans="1:8" ht="27" x14ac:dyDescent="0.25">
      <c r="A44" s="5" t="str">
        <f>"20/07/2025"</f>
        <v>20/07/2025</v>
      </c>
      <c r="B44" s="5" t="s">
        <v>1102</v>
      </c>
      <c r="C44" s="5">
        <v>0</v>
      </c>
      <c r="D44" s="5">
        <v>1</v>
      </c>
      <c r="E44" s="5">
        <v>16</v>
      </c>
      <c r="F44" s="5">
        <v>94.54</v>
      </c>
      <c r="G44" s="5" t="s">
        <v>1304</v>
      </c>
      <c r="H44" s="5" t="s">
        <v>1335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ACFF21-397A-4C18-B28B-762F456BA793}">
  <dimension ref="A1:K36"/>
  <sheetViews>
    <sheetView workbookViewId="0">
      <selection sqref="A1:XFD1048576"/>
    </sheetView>
  </sheetViews>
  <sheetFormatPr baseColWidth="10" defaultColWidth="11.7109375" defaultRowHeight="15" x14ac:dyDescent="0.25"/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359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"4064666318264"</f>
        <v>4064666318264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"4064666318264"</f>
        <v>4064666318264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24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32</v>
      </c>
      <c r="D10" s="5">
        <v>0</v>
      </c>
      <c r="E10" s="5">
        <v>32</v>
      </c>
      <c r="F10" s="5">
        <v>94.54</v>
      </c>
      <c r="G10" s="5" t="s">
        <v>1304</v>
      </c>
      <c r="H10" s="6"/>
    </row>
    <row r="11" spans="1:11" ht="27" x14ac:dyDescent="0.25">
      <c r="A11" s="5" t="str">
        <f>"03/07/2025"</f>
        <v>03/07/2025</v>
      </c>
      <c r="B11" s="5" t="s">
        <v>1102</v>
      </c>
      <c r="C11" s="5">
        <v>0</v>
      </c>
      <c r="D11" s="5">
        <v>1</v>
      </c>
      <c r="E11" s="5">
        <v>31</v>
      </c>
      <c r="F11" s="5">
        <v>94.54</v>
      </c>
      <c r="G11" s="5" t="s">
        <v>1304</v>
      </c>
      <c r="H11" s="5" t="s">
        <v>1246</v>
      </c>
    </row>
    <row r="12" spans="1:11" ht="27" x14ac:dyDescent="0.25">
      <c r="A12" s="5" t="str">
        <f>"03/07/2025"</f>
        <v>03/07/2025</v>
      </c>
      <c r="B12" s="5" t="s">
        <v>1114</v>
      </c>
      <c r="C12" s="5">
        <v>0</v>
      </c>
      <c r="D12" s="5">
        <v>1</v>
      </c>
      <c r="E12" s="5">
        <v>30</v>
      </c>
      <c r="F12" s="5">
        <v>94.54</v>
      </c>
      <c r="G12" s="5" t="s">
        <v>1304</v>
      </c>
      <c r="H12" s="5" t="s">
        <v>1305</v>
      </c>
    </row>
    <row r="13" spans="1:11" ht="27" x14ac:dyDescent="0.25">
      <c r="A13" s="5" t="str">
        <f>"04/07/2025"</f>
        <v>04/07/2025</v>
      </c>
      <c r="B13" s="5" t="s">
        <v>1102</v>
      </c>
      <c r="C13" s="5">
        <v>0</v>
      </c>
      <c r="D13" s="5">
        <v>1</v>
      </c>
      <c r="E13" s="5">
        <v>29</v>
      </c>
      <c r="F13" s="5">
        <v>94.54</v>
      </c>
      <c r="G13" s="5" t="s">
        <v>1304</v>
      </c>
      <c r="H13" s="5" t="s">
        <v>1306</v>
      </c>
    </row>
    <row r="14" spans="1:11" ht="27" x14ac:dyDescent="0.25">
      <c r="A14" s="5" t="str">
        <f>"07/07/2025"</f>
        <v>07/07/2025</v>
      </c>
      <c r="B14" s="5" t="s">
        <v>1108</v>
      </c>
      <c r="C14" s="5">
        <v>0</v>
      </c>
      <c r="D14" s="5">
        <v>1</v>
      </c>
      <c r="E14" s="5">
        <v>28</v>
      </c>
      <c r="F14" s="5">
        <v>94.54</v>
      </c>
      <c r="G14" s="5" t="s">
        <v>1304</v>
      </c>
      <c r="H14" s="5" t="s">
        <v>1308</v>
      </c>
    </row>
    <row r="15" spans="1:11" ht="27" x14ac:dyDescent="0.25">
      <c r="A15" s="5" t="str">
        <f>"08/07/2025"</f>
        <v>08/07/2025</v>
      </c>
      <c r="B15" s="5" t="s">
        <v>1102</v>
      </c>
      <c r="C15" s="5">
        <v>0</v>
      </c>
      <c r="D15" s="5">
        <v>1</v>
      </c>
      <c r="E15" s="5">
        <v>27</v>
      </c>
      <c r="F15" s="5">
        <v>94.54</v>
      </c>
      <c r="G15" s="5" t="s">
        <v>1304</v>
      </c>
      <c r="H15" s="5" t="s">
        <v>1310</v>
      </c>
    </row>
    <row r="16" spans="1:11" ht="27" x14ac:dyDescent="0.25">
      <c r="A16" s="5" t="str">
        <f>"08/07/2025"</f>
        <v>08/07/2025</v>
      </c>
      <c r="B16" s="5" t="s">
        <v>1108</v>
      </c>
      <c r="C16" s="5">
        <v>0</v>
      </c>
      <c r="D16" s="5">
        <v>1</v>
      </c>
      <c r="E16" s="5">
        <v>26</v>
      </c>
      <c r="F16" s="5">
        <v>94.54</v>
      </c>
      <c r="G16" s="5" t="s">
        <v>1304</v>
      </c>
      <c r="H16" s="5" t="s">
        <v>1311</v>
      </c>
    </row>
    <row r="17" spans="1:8" ht="27" x14ac:dyDescent="0.25">
      <c r="A17" s="5" t="str">
        <f>"08/07/2025"</f>
        <v>08/07/2025</v>
      </c>
      <c r="B17" s="5" t="s">
        <v>1114</v>
      </c>
      <c r="C17" s="5">
        <v>0</v>
      </c>
      <c r="D17" s="5">
        <v>1</v>
      </c>
      <c r="E17" s="5">
        <v>25</v>
      </c>
      <c r="F17" s="5">
        <v>94.54</v>
      </c>
      <c r="G17" s="5" t="s">
        <v>1304</v>
      </c>
      <c r="H17" s="5" t="s">
        <v>1312</v>
      </c>
    </row>
    <row r="18" spans="1:8" ht="27" x14ac:dyDescent="0.25">
      <c r="A18" s="5" t="str">
        <f>"09/07/2025"</f>
        <v>09/07/2025</v>
      </c>
      <c r="B18" s="5" t="s">
        <v>1105</v>
      </c>
      <c r="C18" s="5">
        <v>0</v>
      </c>
      <c r="D18" s="5">
        <v>1</v>
      </c>
      <c r="E18" s="5">
        <v>24</v>
      </c>
      <c r="F18" s="5">
        <v>94.54</v>
      </c>
      <c r="G18" s="5" t="s">
        <v>1304</v>
      </c>
      <c r="H18" s="5" t="s">
        <v>1314</v>
      </c>
    </row>
    <row r="19" spans="1:8" ht="27" x14ac:dyDescent="0.25">
      <c r="A19" s="5" t="str">
        <f>"09/07/2025"</f>
        <v>09/07/2025</v>
      </c>
      <c r="B19" s="5" t="s">
        <v>1105</v>
      </c>
      <c r="C19" s="5">
        <v>0</v>
      </c>
      <c r="D19" s="5">
        <v>1</v>
      </c>
      <c r="E19" s="5">
        <v>23</v>
      </c>
      <c r="F19" s="5">
        <v>94.54</v>
      </c>
      <c r="G19" s="5" t="s">
        <v>1304</v>
      </c>
      <c r="H19" s="5" t="s">
        <v>1314</v>
      </c>
    </row>
    <row r="20" spans="1:8" ht="27" x14ac:dyDescent="0.25">
      <c r="A20" s="5" t="str">
        <f>"09/07/2025"</f>
        <v>09/07/2025</v>
      </c>
      <c r="B20" s="5" t="s">
        <v>1102</v>
      </c>
      <c r="C20" s="5">
        <v>1</v>
      </c>
      <c r="D20" s="5">
        <v>0</v>
      </c>
      <c r="E20" s="5">
        <v>24</v>
      </c>
      <c r="F20" s="5">
        <v>94.54</v>
      </c>
      <c r="G20" s="5" t="s">
        <v>1316</v>
      </c>
      <c r="H20" s="6"/>
    </row>
    <row r="21" spans="1:8" ht="27" x14ac:dyDescent="0.25">
      <c r="A21" s="5" t="str">
        <f>"10/07/2025"</f>
        <v>10/07/2025</v>
      </c>
      <c r="B21" s="5" t="s">
        <v>1105</v>
      </c>
      <c r="C21" s="5">
        <v>0</v>
      </c>
      <c r="D21" s="5">
        <v>1</v>
      </c>
      <c r="E21" s="5">
        <v>23</v>
      </c>
      <c r="F21" s="5">
        <v>94.54</v>
      </c>
      <c r="G21" s="5" t="s">
        <v>1316</v>
      </c>
      <c r="H21" s="5" t="s">
        <v>1317</v>
      </c>
    </row>
    <row r="22" spans="1:8" ht="27" x14ac:dyDescent="0.25">
      <c r="A22" s="5" t="str">
        <f>"10/07/2025"</f>
        <v>10/07/2025</v>
      </c>
      <c r="B22" s="5" t="s">
        <v>1105</v>
      </c>
      <c r="C22" s="5">
        <v>0</v>
      </c>
      <c r="D22" s="5">
        <v>1</v>
      </c>
      <c r="E22" s="5">
        <v>22</v>
      </c>
      <c r="F22" s="5">
        <v>94.54</v>
      </c>
      <c r="G22" s="5" t="s">
        <v>1304</v>
      </c>
      <c r="H22" s="5" t="s">
        <v>1336</v>
      </c>
    </row>
    <row r="23" spans="1:8" ht="27" x14ac:dyDescent="0.25">
      <c r="A23" s="5" t="str">
        <f>"10/07/2025"</f>
        <v>10/07/2025</v>
      </c>
      <c r="B23" s="5" t="s">
        <v>1170</v>
      </c>
      <c r="C23" s="5">
        <v>0</v>
      </c>
      <c r="D23" s="5">
        <v>1</v>
      </c>
      <c r="E23" s="5">
        <v>21</v>
      </c>
      <c r="F23" s="5">
        <v>94.54</v>
      </c>
      <c r="G23" s="5" t="s">
        <v>1304</v>
      </c>
      <c r="H23" s="5" t="s">
        <v>1318</v>
      </c>
    </row>
    <row r="24" spans="1:8" ht="27" x14ac:dyDescent="0.25">
      <c r="A24" s="5" t="str">
        <f>"11/07/2025"</f>
        <v>11/07/2025</v>
      </c>
      <c r="B24" s="5" t="s">
        <v>1105</v>
      </c>
      <c r="C24" s="5">
        <v>0</v>
      </c>
      <c r="D24" s="5">
        <v>1</v>
      </c>
      <c r="E24" s="5">
        <v>20</v>
      </c>
      <c r="F24" s="5">
        <v>94.54</v>
      </c>
      <c r="G24" s="5" t="s">
        <v>1304</v>
      </c>
      <c r="H24" s="5" t="s">
        <v>1320</v>
      </c>
    </row>
    <row r="25" spans="1:8" ht="27" x14ac:dyDescent="0.25">
      <c r="A25" s="5" t="str">
        <f>"14/07/2025"</f>
        <v>14/07/2025</v>
      </c>
      <c r="B25" s="5" t="s">
        <v>1105</v>
      </c>
      <c r="C25" s="5">
        <v>0</v>
      </c>
      <c r="D25" s="5">
        <v>1</v>
      </c>
      <c r="E25" s="5">
        <v>19</v>
      </c>
      <c r="F25" s="5">
        <v>94.54</v>
      </c>
      <c r="G25" s="5" t="s">
        <v>1304</v>
      </c>
      <c r="H25" s="5" t="s">
        <v>1324</v>
      </c>
    </row>
    <row r="26" spans="1:8" ht="27" x14ac:dyDescent="0.25">
      <c r="A26" s="5" t="str">
        <f>"14/07/2025"</f>
        <v>14/07/2025</v>
      </c>
      <c r="B26" s="5" t="s">
        <v>1105</v>
      </c>
      <c r="C26" s="5">
        <v>0</v>
      </c>
      <c r="D26" s="5">
        <v>1</v>
      </c>
      <c r="E26" s="5">
        <v>18</v>
      </c>
      <c r="F26" s="5">
        <v>94.54</v>
      </c>
      <c r="G26" s="5" t="s">
        <v>1304</v>
      </c>
      <c r="H26" s="5" t="s">
        <v>1326</v>
      </c>
    </row>
    <row r="27" spans="1:8" ht="27" x14ac:dyDescent="0.25">
      <c r="A27" s="5" t="str">
        <f>"14/07/2025"</f>
        <v>14/07/2025</v>
      </c>
      <c r="B27" s="5" t="s">
        <v>1114</v>
      </c>
      <c r="C27" s="5">
        <v>0</v>
      </c>
      <c r="D27" s="5">
        <v>1</v>
      </c>
      <c r="E27" s="5">
        <v>17</v>
      </c>
      <c r="F27" s="5">
        <v>94.54</v>
      </c>
      <c r="G27" s="5" t="s">
        <v>1304</v>
      </c>
      <c r="H27" s="5" t="s">
        <v>1259</v>
      </c>
    </row>
    <row r="28" spans="1:8" ht="27" x14ac:dyDescent="0.25">
      <c r="A28" s="5" t="str">
        <f>"15/07/2025"</f>
        <v>15/07/2025</v>
      </c>
      <c r="B28" s="5" t="s">
        <v>1114</v>
      </c>
      <c r="C28" s="5">
        <v>0</v>
      </c>
      <c r="D28" s="5">
        <v>1</v>
      </c>
      <c r="E28" s="5">
        <v>16</v>
      </c>
      <c r="F28" s="5">
        <v>94.54</v>
      </c>
      <c r="G28" s="5" t="s">
        <v>1304</v>
      </c>
      <c r="H28" s="5" t="s">
        <v>1327</v>
      </c>
    </row>
    <row r="29" spans="1:8" ht="27" x14ac:dyDescent="0.25">
      <c r="A29" s="5" t="str">
        <f>"15/07/2025"</f>
        <v>15/07/2025</v>
      </c>
      <c r="B29" s="5" t="s">
        <v>1129</v>
      </c>
      <c r="C29" s="5">
        <v>0</v>
      </c>
      <c r="D29" s="5">
        <v>1</v>
      </c>
      <c r="E29" s="5">
        <v>15</v>
      </c>
      <c r="F29" s="5">
        <v>94.54</v>
      </c>
      <c r="G29" s="5" t="s">
        <v>1304</v>
      </c>
      <c r="H29" s="5" t="s">
        <v>1328</v>
      </c>
    </row>
    <row r="30" spans="1:8" ht="27" x14ac:dyDescent="0.25">
      <c r="A30" s="5" t="str">
        <f>"15/07/2025"</f>
        <v>15/07/2025</v>
      </c>
      <c r="B30" s="5" t="s">
        <v>1102</v>
      </c>
      <c r="C30" s="5">
        <v>0</v>
      </c>
      <c r="D30" s="5">
        <v>1</v>
      </c>
      <c r="E30" s="5">
        <v>14</v>
      </c>
      <c r="F30" s="5">
        <v>94.54</v>
      </c>
      <c r="G30" s="5" t="s">
        <v>1304</v>
      </c>
      <c r="H30" s="5" t="s">
        <v>1329</v>
      </c>
    </row>
    <row r="31" spans="1:8" ht="27" x14ac:dyDescent="0.25">
      <c r="A31" s="5" t="str">
        <f>"16/07/2025"</f>
        <v>16/07/2025</v>
      </c>
      <c r="B31" s="5" t="s">
        <v>1114</v>
      </c>
      <c r="C31" s="5">
        <v>0</v>
      </c>
      <c r="D31" s="5">
        <v>1</v>
      </c>
      <c r="E31" s="5">
        <v>13</v>
      </c>
      <c r="F31" s="5">
        <v>94.54</v>
      </c>
      <c r="G31" s="5" t="s">
        <v>1304</v>
      </c>
      <c r="H31" s="5" t="s">
        <v>1330</v>
      </c>
    </row>
    <row r="32" spans="1:8" ht="27" x14ac:dyDescent="0.25">
      <c r="A32" s="5" t="str">
        <f>"17/07/2025"</f>
        <v>17/07/2025</v>
      </c>
      <c r="B32" s="5" t="s">
        <v>1114</v>
      </c>
      <c r="C32" s="5">
        <v>16</v>
      </c>
      <c r="D32" s="5">
        <v>0</v>
      </c>
      <c r="E32" s="5">
        <v>29</v>
      </c>
      <c r="F32" s="5">
        <v>94.54</v>
      </c>
      <c r="G32" s="5" t="s">
        <v>1332</v>
      </c>
      <c r="H32" s="6"/>
    </row>
    <row r="33" spans="1:8" ht="27" x14ac:dyDescent="0.25">
      <c r="A33" s="5" t="str">
        <f>"17/07/2025"</f>
        <v>17/07/2025</v>
      </c>
      <c r="B33" s="5" t="s">
        <v>1114</v>
      </c>
      <c r="C33" s="5">
        <v>0</v>
      </c>
      <c r="D33" s="5">
        <v>1</v>
      </c>
      <c r="E33" s="5">
        <v>28</v>
      </c>
      <c r="F33" s="5">
        <v>94.54</v>
      </c>
      <c r="G33" s="5" t="s">
        <v>1304</v>
      </c>
      <c r="H33" s="5" t="s">
        <v>1333</v>
      </c>
    </row>
    <row r="34" spans="1:8" ht="27" x14ac:dyDescent="0.25">
      <c r="A34" s="5" t="str">
        <f>"18/07/2025"</f>
        <v>18/07/2025</v>
      </c>
      <c r="B34" s="5" t="s">
        <v>1102</v>
      </c>
      <c r="C34" s="5">
        <v>0</v>
      </c>
      <c r="D34" s="5">
        <v>1</v>
      </c>
      <c r="E34" s="5">
        <v>27</v>
      </c>
      <c r="F34" s="5">
        <v>94.54</v>
      </c>
      <c r="G34" s="5" t="s">
        <v>1304</v>
      </c>
      <c r="H34" s="5" t="s">
        <v>1334</v>
      </c>
    </row>
    <row r="35" spans="1:8" ht="27" x14ac:dyDescent="0.25">
      <c r="A35" s="5" t="str">
        <f>"20/07/2025"</f>
        <v>20/07/2025</v>
      </c>
      <c r="B35" s="5" t="s">
        <v>1102</v>
      </c>
      <c r="C35" s="5">
        <v>0</v>
      </c>
      <c r="D35" s="5">
        <v>2</v>
      </c>
      <c r="E35" s="5">
        <v>25</v>
      </c>
      <c r="F35" s="5">
        <v>94.54</v>
      </c>
      <c r="G35" s="5" t="s">
        <v>1304</v>
      </c>
      <c r="H35" s="5" t="s">
        <v>1337</v>
      </c>
    </row>
    <row r="36" spans="1:8" ht="27" x14ac:dyDescent="0.25">
      <c r="A36" s="5" t="str">
        <f>"20/07/2025"</f>
        <v>20/07/2025</v>
      </c>
      <c r="B36" s="5" t="s">
        <v>1102</v>
      </c>
      <c r="C36" s="5">
        <v>0</v>
      </c>
      <c r="D36" s="5">
        <v>1</v>
      </c>
      <c r="E36" s="5">
        <v>24</v>
      </c>
      <c r="F36" s="5">
        <v>94.54</v>
      </c>
      <c r="G36" s="5" t="s">
        <v>1304</v>
      </c>
      <c r="H36" s="5" t="s">
        <v>1335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BAD3-15C3-4DC5-B623-200CDBC9A3F0}">
  <dimension ref="A1:K28"/>
  <sheetViews>
    <sheetView workbookViewId="0">
      <selection activeCell="L15" sqref="L15"/>
    </sheetView>
  </sheetViews>
  <sheetFormatPr baseColWidth="10" defaultColWidth="10.85546875" defaultRowHeight="15" x14ac:dyDescent="0.25"/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23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"4064666316208"</f>
        <v>4064666316208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"4064666316208"</f>
        <v>4064666316208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7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32</v>
      </c>
      <c r="D10" s="5">
        <v>0</v>
      </c>
      <c r="E10" s="5">
        <v>32</v>
      </c>
      <c r="F10" s="5">
        <v>35.65</v>
      </c>
      <c r="G10" s="5" t="s">
        <v>1244</v>
      </c>
      <c r="H10" s="6"/>
    </row>
    <row r="11" spans="1:11" ht="27" x14ac:dyDescent="0.25">
      <c r="A11" s="5" t="str">
        <f>"03/07/2025"</f>
        <v>03/07/2025</v>
      </c>
      <c r="B11" s="5" t="s">
        <v>1105</v>
      </c>
      <c r="C11" s="5">
        <v>0</v>
      </c>
      <c r="D11" s="5">
        <v>1</v>
      </c>
      <c r="E11" s="5">
        <v>31</v>
      </c>
      <c r="F11" s="5">
        <v>35.65</v>
      </c>
      <c r="G11" s="5" t="s">
        <v>1244</v>
      </c>
      <c r="H11" s="5" t="s">
        <v>1338</v>
      </c>
    </row>
    <row r="12" spans="1:11" ht="27" x14ac:dyDescent="0.25">
      <c r="A12" s="5" t="str">
        <f>"04/07/2025"</f>
        <v>04/07/2025</v>
      </c>
      <c r="B12" s="5" t="s">
        <v>1102</v>
      </c>
      <c r="C12" s="5">
        <v>0</v>
      </c>
      <c r="D12" s="5">
        <v>1</v>
      </c>
      <c r="E12" s="5">
        <v>30</v>
      </c>
      <c r="F12" s="5">
        <v>35.65</v>
      </c>
      <c r="G12" s="5" t="s">
        <v>1244</v>
      </c>
      <c r="H12" s="5" t="s">
        <v>1339</v>
      </c>
    </row>
    <row r="13" spans="1:11" ht="27" x14ac:dyDescent="0.25">
      <c r="A13" s="5" t="str">
        <f>"06/07/2025"</f>
        <v>06/07/2025</v>
      </c>
      <c r="B13" s="5" t="s">
        <v>1102</v>
      </c>
      <c r="C13" s="5">
        <v>0</v>
      </c>
      <c r="D13" s="5">
        <v>1</v>
      </c>
      <c r="E13" s="5">
        <v>29</v>
      </c>
      <c r="F13" s="5">
        <v>35.65</v>
      </c>
      <c r="G13" s="5" t="s">
        <v>1244</v>
      </c>
      <c r="H13" s="5" t="s">
        <v>1340</v>
      </c>
    </row>
    <row r="14" spans="1:11" ht="27" x14ac:dyDescent="0.25">
      <c r="A14" s="5" t="str">
        <f>"07/07/2025"</f>
        <v>07/07/2025</v>
      </c>
      <c r="B14" s="5" t="s">
        <v>1105</v>
      </c>
      <c r="C14" s="5">
        <v>0</v>
      </c>
      <c r="D14" s="5">
        <v>1</v>
      </c>
      <c r="E14" s="5">
        <v>28</v>
      </c>
      <c r="F14" s="5">
        <v>35.65</v>
      </c>
      <c r="G14" s="5" t="s">
        <v>1244</v>
      </c>
      <c r="H14" s="5" t="s">
        <v>1341</v>
      </c>
    </row>
    <row r="15" spans="1:11" ht="27" x14ac:dyDescent="0.25">
      <c r="A15" s="5" t="str">
        <f>"07/07/2025"</f>
        <v>07/07/2025</v>
      </c>
      <c r="B15" s="5" t="s">
        <v>1114</v>
      </c>
      <c r="C15" s="5">
        <v>0</v>
      </c>
      <c r="D15" s="5">
        <v>4</v>
      </c>
      <c r="E15" s="5">
        <v>24</v>
      </c>
      <c r="F15" s="5">
        <v>35.65</v>
      </c>
      <c r="G15" s="5" t="s">
        <v>1244</v>
      </c>
      <c r="H15" s="5" t="s">
        <v>1249</v>
      </c>
      <c r="I15" s="5" t="s">
        <v>1250</v>
      </c>
      <c r="J15" s="5" t="s">
        <v>1251</v>
      </c>
      <c r="K15" s="5" t="s">
        <v>1252</v>
      </c>
    </row>
    <row r="16" spans="1:11" ht="27" x14ac:dyDescent="0.25">
      <c r="A16" s="5" t="str">
        <f>"09/07/2025"</f>
        <v>09/07/2025</v>
      </c>
      <c r="B16" s="5" t="s">
        <v>1178</v>
      </c>
      <c r="C16" s="5">
        <v>0</v>
      </c>
      <c r="D16" s="5">
        <v>5</v>
      </c>
      <c r="E16" s="5">
        <v>19</v>
      </c>
      <c r="F16" s="5">
        <v>35.65</v>
      </c>
      <c r="G16" s="5" t="s">
        <v>1244</v>
      </c>
      <c r="H16" s="5" t="s">
        <v>1253</v>
      </c>
      <c r="I16" s="5" t="s">
        <v>1254</v>
      </c>
      <c r="J16" s="6"/>
      <c r="K16" s="6"/>
    </row>
    <row r="17" spans="1:8" ht="27" x14ac:dyDescent="0.25">
      <c r="A17" s="5" t="str">
        <f>"10/07/2025"</f>
        <v>10/07/2025</v>
      </c>
      <c r="B17" s="5" t="s">
        <v>1105</v>
      </c>
      <c r="C17" s="5">
        <v>0</v>
      </c>
      <c r="D17" s="5">
        <v>1</v>
      </c>
      <c r="E17" s="5">
        <v>18</v>
      </c>
      <c r="F17" s="5">
        <v>35.65</v>
      </c>
      <c r="G17" s="5" t="s">
        <v>1244</v>
      </c>
      <c r="H17" s="5" t="s">
        <v>1342</v>
      </c>
    </row>
    <row r="18" spans="1:8" ht="27" x14ac:dyDescent="0.25">
      <c r="A18" s="5" t="str">
        <f>"11/07/2025"</f>
        <v>11/07/2025</v>
      </c>
      <c r="B18" s="5" t="s">
        <v>1105</v>
      </c>
      <c r="C18" s="5">
        <v>0</v>
      </c>
      <c r="D18" s="5">
        <v>1</v>
      </c>
      <c r="E18" s="5">
        <v>17</v>
      </c>
      <c r="F18" s="5">
        <v>35.65</v>
      </c>
      <c r="G18" s="5" t="s">
        <v>1244</v>
      </c>
      <c r="H18" s="5" t="s">
        <v>1343</v>
      </c>
    </row>
    <row r="19" spans="1:8" ht="27" x14ac:dyDescent="0.25">
      <c r="A19" s="5" t="str">
        <f>"11/07/2025"</f>
        <v>11/07/2025</v>
      </c>
      <c r="B19" s="5" t="s">
        <v>1105</v>
      </c>
      <c r="C19" s="5">
        <v>0</v>
      </c>
      <c r="D19" s="5">
        <v>1</v>
      </c>
      <c r="E19" s="5">
        <v>16</v>
      </c>
      <c r="F19" s="5">
        <v>35.65</v>
      </c>
      <c r="G19" s="5" t="s">
        <v>1244</v>
      </c>
      <c r="H19" s="5" t="s">
        <v>1344</v>
      </c>
    </row>
    <row r="20" spans="1:8" ht="27" x14ac:dyDescent="0.25">
      <c r="A20" s="5" t="str">
        <f>"15/07/2025"</f>
        <v>15/07/2025</v>
      </c>
      <c r="B20" s="5" t="s">
        <v>1102</v>
      </c>
      <c r="C20" s="5">
        <v>0</v>
      </c>
      <c r="D20" s="5">
        <v>1</v>
      </c>
      <c r="E20" s="5">
        <v>15</v>
      </c>
      <c r="F20" s="5">
        <v>35.65</v>
      </c>
      <c r="G20" s="5" t="s">
        <v>1244</v>
      </c>
      <c r="H20" s="5" t="s">
        <v>1345</v>
      </c>
    </row>
    <row r="21" spans="1:8" ht="27" x14ac:dyDescent="0.25">
      <c r="A21" s="5" t="str">
        <f>"15/07/2025"</f>
        <v>15/07/2025</v>
      </c>
      <c r="B21" s="5" t="s">
        <v>1129</v>
      </c>
      <c r="C21" s="5">
        <v>0</v>
      </c>
      <c r="D21" s="5">
        <v>1</v>
      </c>
      <c r="E21" s="5">
        <v>14</v>
      </c>
      <c r="F21" s="5">
        <v>35.65</v>
      </c>
      <c r="G21" s="5" t="s">
        <v>1244</v>
      </c>
      <c r="H21" s="5" t="s">
        <v>1261</v>
      </c>
    </row>
    <row r="22" spans="1:8" ht="27" x14ac:dyDescent="0.25">
      <c r="A22" s="5" t="str">
        <f>"15/07/2025"</f>
        <v>15/07/2025</v>
      </c>
      <c r="B22" s="5" t="s">
        <v>1129</v>
      </c>
      <c r="C22" s="5">
        <v>0</v>
      </c>
      <c r="D22" s="5">
        <v>1</v>
      </c>
      <c r="E22" s="5">
        <v>13</v>
      </c>
      <c r="F22" s="5">
        <v>35.65</v>
      </c>
      <c r="G22" s="5" t="s">
        <v>1244</v>
      </c>
      <c r="H22" s="5" t="s">
        <v>1261</v>
      </c>
    </row>
    <row r="23" spans="1:8" ht="27" x14ac:dyDescent="0.25">
      <c r="A23" s="5" t="str">
        <f>"15/07/2025"</f>
        <v>15/07/2025</v>
      </c>
      <c r="B23" s="5" t="s">
        <v>1114</v>
      </c>
      <c r="C23" s="5">
        <v>0</v>
      </c>
      <c r="D23" s="5">
        <v>1</v>
      </c>
      <c r="E23" s="5">
        <v>12</v>
      </c>
      <c r="F23" s="5">
        <v>35.65</v>
      </c>
      <c r="G23" s="5" t="s">
        <v>1244</v>
      </c>
      <c r="H23" s="5" t="s">
        <v>1346</v>
      </c>
    </row>
    <row r="24" spans="1:8" ht="27" x14ac:dyDescent="0.25">
      <c r="A24" s="5" t="str">
        <f>"18/07/2025"</f>
        <v>18/07/2025</v>
      </c>
      <c r="B24" s="5" t="s">
        <v>1114</v>
      </c>
      <c r="C24" s="5">
        <v>0</v>
      </c>
      <c r="D24" s="5">
        <v>1</v>
      </c>
      <c r="E24" s="5">
        <v>11</v>
      </c>
      <c r="F24" s="5">
        <v>35.65</v>
      </c>
      <c r="G24" s="5" t="s">
        <v>1244</v>
      </c>
      <c r="H24" s="5" t="s">
        <v>1285</v>
      </c>
    </row>
    <row r="25" spans="1:8" ht="27" x14ac:dyDescent="0.25">
      <c r="A25" s="5" t="str">
        <f>"18/07/2025"</f>
        <v>18/07/2025</v>
      </c>
      <c r="B25" s="5" t="s">
        <v>1102</v>
      </c>
      <c r="C25" s="5">
        <v>0</v>
      </c>
      <c r="D25" s="5">
        <v>1</v>
      </c>
      <c r="E25" s="5">
        <v>10</v>
      </c>
      <c r="F25" s="5">
        <v>35.65</v>
      </c>
      <c r="G25" s="5" t="s">
        <v>1244</v>
      </c>
      <c r="H25" s="5" t="s">
        <v>1347</v>
      </c>
    </row>
    <row r="26" spans="1:8" ht="27" x14ac:dyDescent="0.25">
      <c r="A26" s="5" t="str">
        <f>"18/07/2025"</f>
        <v>18/07/2025</v>
      </c>
      <c r="B26" s="5" t="s">
        <v>1102</v>
      </c>
      <c r="C26" s="5">
        <v>0</v>
      </c>
      <c r="D26" s="5">
        <v>1</v>
      </c>
      <c r="E26" s="5">
        <v>9</v>
      </c>
      <c r="F26" s="5">
        <v>35.65</v>
      </c>
      <c r="G26" s="5" t="s">
        <v>1244</v>
      </c>
      <c r="H26" s="5" t="s">
        <v>1286</v>
      </c>
    </row>
    <row r="27" spans="1:8" ht="27" x14ac:dyDescent="0.25">
      <c r="A27" s="5" t="str">
        <f>"20/07/2025"</f>
        <v>20/07/2025</v>
      </c>
      <c r="B27" s="5" t="s">
        <v>1102</v>
      </c>
      <c r="C27" s="5">
        <v>0</v>
      </c>
      <c r="D27" s="5">
        <v>1</v>
      </c>
      <c r="E27" s="5">
        <v>8</v>
      </c>
      <c r="F27" s="5">
        <v>35.65</v>
      </c>
      <c r="G27" s="5" t="s">
        <v>1244</v>
      </c>
      <c r="H27" s="5" t="s">
        <v>1348</v>
      </c>
    </row>
    <row r="28" spans="1:8" ht="27" x14ac:dyDescent="0.25">
      <c r="A28" s="5" t="str">
        <f>"20/07/2025"</f>
        <v>20/07/2025</v>
      </c>
      <c r="B28" s="5" t="s">
        <v>1102</v>
      </c>
      <c r="C28" s="5">
        <v>0</v>
      </c>
      <c r="D28" s="5">
        <v>1</v>
      </c>
      <c r="E28" s="5">
        <v>7</v>
      </c>
      <c r="F28" s="5">
        <v>35.65</v>
      </c>
      <c r="G28" s="5" t="s">
        <v>1244</v>
      </c>
      <c r="H28" s="5" t="s">
        <v>1335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7EC3C-AFB4-4527-8904-A3E51E62E72B}">
  <dimension ref="A1:K24"/>
  <sheetViews>
    <sheetView workbookViewId="0">
      <selection activeCell="C6" sqref="C6:I6"/>
    </sheetView>
  </sheetViews>
  <sheetFormatPr baseColWidth="10" defaultRowHeight="15" x14ac:dyDescent="0.25"/>
  <cols>
    <col min="1" max="1" width="11" customWidth="1"/>
    <col min="2" max="2" width="28.42578125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45.7109375" bestFit="1" customWidth="1"/>
    <col min="8" max="8" width="30.28515625" bestFit="1" customWidth="1"/>
    <col min="9" max="9" width="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25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"8022297095899"</f>
        <v>8022297095899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"1684359910963"</f>
        <v>1684359910963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8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2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1114</v>
      </c>
      <c r="C10" s="5">
        <v>2</v>
      </c>
      <c r="D10" s="5">
        <v>0</v>
      </c>
      <c r="E10" s="5">
        <v>10</v>
      </c>
      <c r="F10" s="5">
        <v>31.86</v>
      </c>
      <c r="G10" s="5" t="s">
        <v>1349</v>
      </c>
      <c r="H10" s="6"/>
    </row>
    <row r="11" spans="1:11" ht="27" x14ac:dyDescent="0.25">
      <c r="A11" s="5" t="str">
        <f>"22/06/2025"</f>
        <v>22/06/2025</v>
      </c>
      <c r="B11" s="5" t="s">
        <v>1102</v>
      </c>
      <c r="C11" s="5">
        <v>0</v>
      </c>
      <c r="D11" s="5">
        <v>1</v>
      </c>
      <c r="E11" s="5">
        <v>9</v>
      </c>
      <c r="F11" s="5">
        <v>28.84</v>
      </c>
      <c r="G11" s="5" t="s">
        <v>1350</v>
      </c>
      <c r="H11" s="5" t="s">
        <v>1351</v>
      </c>
    </row>
    <row r="12" spans="1:11" ht="27" x14ac:dyDescent="0.25">
      <c r="A12" s="5" t="str">
        <f>"24/06/2025"</f>
        <v>24/06/2025</v>
      </c>
      <c r="B12" s="5" t="s">
        <v>1114</v>
      </c>
      <c r="C12" s="5">
        <v>0</v>
      </c>
      <c r="D12" s="5">
        <v>2</v>
      </c>
      <c r="E12" s="5">
        <v>7</v>
      </c>
      <c r="F12" s="5">
        <v>30.35</v>
      </c>
      <c r="G12" s="5" t="s">
        <v>1352</v>
      </c>
      <c r="H12" s="5" t="s">
        <v>1353</v>
      </c>
      <c r="I12" s="5" t="s">
        <v>1250</v>
      </c>
      <c r="J12" s="5" t="s">
        <v>1251</v>
      </c>
      <c r="K12" s="5" t="s">
        <v>1354</v>
      </c>
    </row>
    <row r="13" spans="1:11" ht="27" x14ac:dyDescent="0.25">
      <c r="A13" s="5" t="str">
        <f>"24/06/2025"</f>
        <v>24/06/2025</v>
      </c>
      <c r="B13" s="5" t="s">
        <v>1108</v>
      </c>
      <c r="C13" s="5">
        <v>0</v>
      </c>
      <c r="D13" s="5">
        <v>2</v>
      </c>
      <c r="E13" s="5">
        <v>5</v>
      </c>
      <c r="F13" s="5">
        <v>31.1</v>
      </c>
      <c r="G13" s="5" t="s">
        <v>1355</v>
      </c>
      <c r="H13" s="5" t="s">
        <v>1356</v>
      </c>
    </row>
    <row r="14" spans="1:11" ht="27" x14ac:dyDescent="0.25">
      <c r="A14" s="5" t="str">
        <f>"26/06/2025"</f>
        <v>26/06/2025</v>
      </c>
      <c r="B14" s="5" t="s">
        <v>1129</v>
      </c>
      <c r="C14" s="5">
        <v>0</v>
      </c>
      <c r="D14" s="5">
        <v>1</v>
      </c>
      <c r="E14" s="5">
        <v>4</v>
      </c>
      <c r="F14" s="5">
        <v>30.34</v>
      </c>
      <c r="G14" s="5" t="s">
        <v>1271</v>
      </c>
      <c r="H14" s="5" t="s">
        <v>1357</v>
      </c>
    </row>
    <row r="15" spans="1:11" ht="27" x14ac:dyDescent="0.25">
      <c r="A15" s="5" t="str">
        <f>"28/06/2025"</f>
        <v>28/06/2025</v>
      </c>
      <c r="B15" s="5" t="s">
        <v>1108</v>
      </c>
      <c r="C15" s="5">
        <v>0</v>
      </c>
      <c r="D15" s="5">
        <v>1</v>
      </c>
      <c r="E15" s="5">
        <v>3</v>
      </c>
      <c r="F15" s="5">
        <v>30.34</v>
      </c>
      <c r="G15" s="5" t="s">
        <v>1271</v>
      </c>
      <c r="H15" s="5" t="s">
        <v>1358</v>
      </c>
    </row>
    <row r="16" spans="1:11" ht="27" x14ac:dyDescent="0.25">
      <c r="A16" s="5" t="str">
        <f>"30/06/2025"</f>
        <v>30/06/2025</v>
      </c>
      <c r="B16" s="5" t="s">
        <v>1105</v>
      </c>
      <c r="C16" s="5">
        <v>0</v>
      </c>
      <c r="D16" s="5">
        <v>1</v>
      </c>
      <c r="E16" s="5">
        <v>2</v>
      </c>
      <c r="F16" s="5">
        <v>30.34</v>
      </c>
      <c r="G16" s="5" t="s">
        <v>1271</v>
      </c>
      <c r="H16" s="5" t="s">
        <v>1359</v>
      </c>
    </row>
    <row r="17" spans="1:8" ht="27" x14ac:dyDescent="0.25">
      <c r="A17" s="5" t="str">
        <f>"09/07/2025"</f>
        <v>09/07/2025</v>
      </c>
      <c r="B17" s="5" t="s">
        <v>1108</v>
      </c>
      <c r="C17" s="5">
        <v>0</v>
      </c>
      <c r="D17" s="5">
        <v>1</v>
      </c>
      <c r="E17" s="5">
        <v>1</v>
      </c>
      <c r="F17" s="5">
        <v>30.34</v>
      </c>
      <c r="G17" s="5" t="s">
        <v>1271</v>
      </c>
      <c r="H17" s="5" t="s">
        <v>1360</v>
      </c>
    </row>
    <row r="18" spans="1:8" ht="27" x14ac:dyDescent="0.25">
      <c r="A18" s="5" t="str">
        <f>"09/07/2025"</f>
        <v>09/07/2025</v>
      </c>
      <c r="B18" s="5" t="s">
        <v>1108</v>
      </c>
      <c r="C18" s="5">
        <v>0</v>
      </c>
      <c r="D18" s="5">
        <v>1</v>
      </c>
      <c r="E18" s="5">
        <v>0</v>
      </c>
      <c r="F18" s="5">
        <v>30.34</v>
      </c>
      <c r="G18" s="5" t="s">
        <v>1271</v>
      </c>
      <c r="H18" s="5" t="s">
        <v>1361</v>
      </c>
    </row>
    <row r="19" spans="1:8" ht="27" x14ac:dyDescent="0.25">
      <c r="A19" s="5" t="str">
        <f>"09/07/2025"</f>
        <v>09/07/2025</v>
      </c>
      <c r="B19" s="5" t="s">
        <v>1114</v>
      </c>
      <c r="C19" s="5">
        <v>6</v>
      </c>
      <c r="D19" s="5">
        <v>0</v>
      </c>
      <c r="E19" s="5">
        <v>6</v>
      </c>
      <c r="F19" s="5">
        <v>30.34</v>
      </c>
      <c r="G19" s="5" t="s">
        <v>1300</v>
      </c>
      <c r="H19" s="6"/>
    </row>
    <row r="20" spans="1:8" ht="27" x14ac:dyDescent="0.25">
      <c r="A20" s="5" t="str">
        <f>"10/07/2025"</f>
        <v>10/07/2025</v>
      </c>
      <c r="B20" s="5" t="s">
        <v>1108</v>
      </c>
      <c r="C20" s="5">
        <v>1</v>
      </c>
      <c r="D20" s="5">
        <v>0</v>
      </c>
      <c r="E20" s="5">
        <v>7</v>
      </c>
      <c r="F20" s="5">
        <v>30.34</v>
      </c>
      <c r="G20" s="5" t="s">
        <v>1362</v>
      </c>
      <c r="H20" s="6"/>
    </row>
    <row r="21" spans="1:8" ht="27" x14ac:dyDescent="0.25">
      <c r="A21" s="5" t="str">
        <f>"11/07/2025"</f>
        <v>11/07/2025</v>
      </c>
      <c r="B21" s="5" t="s">
        <v>1108</v>
      </c>
      <c r="C21" s="5">
        <v>0</v>
      </c>
      <c r="D21" s="5">
        <v>2</v>
      </c>
      <c r="E21" s="5">
        <v>5</v>
      </c>
      <c r="F21" s="5">
        <v>30.34</v>
      </c>
      <c r="G21" s="5" t="s">
        <v>1363</v>
      </c>
      <c r="H21" s="5" t="s">
        <v>1364</v>
      </c>
    </row>
    <row r="22" spans="1:8" ht="27" x14ac:dyDescent="0.25">
      <c r="A22" s="5" t="str">
        <f>"16/07/2025"</f>
        <v>16/07/2025</v>
      </c>
      <c r="B22" s="5" t="s">
        <v>1129</v>
      </c>
      <c r="C22" s="5">
        <v>0</v>
      </c>
      <c r="D22" s="5">
        <v>1</v>
      </c>
      <c r="E22" s="5">
        <v>4</v>
      </c>
      <c r="F22" s="5">
        <v>30.34</v>
      </c>
      <c r="G22" s="5" t="s">
        <v>1300</v>
      </c>
      <c r="H22" s="5" t="s">
        <v>1365</v>
      </c>
    </row>
    <row r="23" spans="1:8" ht="27" x14ac:dyDescent="0.25">
      <c r="A23" s="5" t="str">
        <f>"17/07/2025"</f>
        <v>17/07/2025</v>
      </c>
      <c r="B23" s="5" t="s">
        <v>1129</v>
      </c>
      <c r="C23" s="5">
        <v>0</v>
      </c>
      <c r="D23" s="5">
        <v>1</v>
      </c>
      <c r="E23" s="5">
        <v>3</v>
      </c>
      <c r="F23" s="5">
        <v>30.34</v>
      </c>
      <c r="G23" s="5" t="s">
        <v>1300</v>
      </c>
      <c r="H23" s="5" t="s">
        <v>1366</v>
      </c>
    </row>
    <row r="24" spans="1:8" ht="27" x14ac:dyDescent="0.25">
      <c r="A24" s="5" t="str">
        <f>"19/07/2025"</f>
        <v>19/07/2025</v>
      </c>
      <c r="B24" s="5" t="s">
        <v>1102</v>
      </c>
      <c r="C24" s="5">
        <v>0</v>
      </c>
      <c r="D24" s="5">
        <v>1</v>
      </c>
      <c r="E24" s="5">
        <v>2</v>
      </c>
      <c r="F24" s="5">
        <v>30.34</v>
      </c>
      <c r="G24" s="5" t="s">
        <v>1300</v>
      </c>
      <c r="H24" s="5" t="s">
        <v>1367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139AD-B800-46C6-A0A5-DB9C2E09C791}">
  <dimension ref="A1:K37"/>
  <sheetViews>
    <sheetView workbookViewId="0">
      <selection activeCell="H13" sqref="H13"/>
    </sheetView>
  </sheetViews>
  <sheetFormatPr baseColWidth="10" defaultRowHeight="15" x14ac:dyDescent="0.25"/>
  <cols>
    <col min="1" max="1" width="10.85546875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19.85546875" customWidth="1"/>
    <col min="8" max="8" width="33.140625" customWidth="1"/>
    <col min="9" max="9" width="26.5703125" customWidth="1"/>
    <col min="10" max="10" width="14.85546875" customWidth="1"/>
    <col min="11" max="11" width="20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53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"4064666316161"</f>
        <v>4064666316161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"4064666316161"</f>
        <v>4064666316161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15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32</v>
      </c>
      <c r="D10" s="5">
        <v>0</v>
      </c>
      <c r="E10" s="5">
        <v>32</v>
      </c>
      <c r="F10" s="5">
        <v>37.26</v>
      </c>
      <c r="G10" s="5" t="s">
        <v>1244</v>
      </c>
      <c r="H10" s="6"/>
    </row>
    <row r="11" spans="1:11" ht="27" x14ac:dyDescent="0.25">
      <c r="A11" s="5" t="str">
        <f>"03/07/2025"</f>
        <v>03/07/2025</v>
      </c>
      <c r="B11" s="5" t="s">
        <v>1114</v>
      </c>
      <c r="C11" s="5">
        <v>0</v>
      </c>
      <c r="D11" s="5">
        <v>1</v>
      </c>
      <c r="E11" s="5">
        <v>31</v>
      </c>
      <c r="F11" s="5">
        <v>37.26</v>
      </c>
      <c r="G11" s="5" t="s">
        <v>1244</v>
      </c>
      <c r="H11" s="5" t="s">
        <v>1368</v>
      </c>
    </row>
    <row r="12" spans="1:11" ht="27" x14ac:dyDescent="0.25">
      <c r="A12" s="5" t="str">
        <f>"03/07/2025"</f>
        <v>03/07/2025</v>
      </c>
      <c r="B12" s="5" t="s">
        <v>1105</v>
      </c>
      <c r="C12" s="5">
        <v>0</v>
      </c>
      <c r="D12" s="5">
        <v>1</v>
      </c>
      <c r="E12" s="5">
        <v>30</v>
      </c>
      <c r="F12" s="5">
        <v>37.26</v>
      </c>
      <c r="G12" s="5" t="s">
        <v>1244</v>
      </c>
      <c r="H12" s="5" t="s">
        <v>1338</v>
      </c>
    </row>
    <row r="13" spans="1:11" ht="27" x14ac:dyDescent="0.25">
      <c r="A13" s="5" t="str">
        <f>"04/07/2025"</f>
        <v>04/07/2025</v>
      </c>
      <c r="B13" s="5" t="s">
        <v>1102</v>
      </c>
      <c r="C13" s="5">
        <v>0</v>
      </c>
      <c r="D13" s="5">
        <v>1</v>
      </c>
      <c r="E13" s="5">
        <v>29</v>
      </c>
      <c r="F13" s="5">
        <v>37.26</v>
      </c>
      <c r="G13" s="5" t="s">
        <v>1244</v>
      </c>
      <c r="H13" s="5" t="s">
        <v>1339</v>
      </c>
    </row>
    <row r="14" spans="1:11" ht="27" x14ac:dyDescent="0.25">
      <c r="A14" s="5" t="str">
        <f>"05/07/2025"</f>
        <v>05/07/2025</v>
      </c>
      <c r="B14" s="5" t="s">
        <v>1105</v>
      </c>
      <c r="C14" s="5">
        <v>0</v>
      </c>
      <c r="D14" s="5">
        <v>1</v>
      </c>
      <c r="E14" s="5">
        <v>28</v>
      </c>
      <c r="F14" s="5">
        <v>37.26</v>
      </c>
      <c r="G14" s="5" t="s">
        <v>1244</v>
      </c>
      <c r="H14" s="5" t="s">
        <v>1369</v>
      </c>
    </row>
    <row r="15" spans="1:11" ht="27" x14ac:dyDescent="0.25">
      <c r="A15" s="5" t="str">
        <f>"05/07/2025"</f>
        <v>05/07/2025</v>
      </c>
      <c r="B15" s="5" t="s">
        <v>1129</v>
      </c>
      <c r="C15" s="5">
        <v>0</v>
      </c>
      <c r="D15" s="5">
        <v>1</v>
      </c>
      <c r="E15" s="5">
        <v>27</v>
      </c>
      <c r="F15" s="5">
        <v>37.26</v>
      </c>
      <c r="G15" s="5" t="s">
        <v>1244</v>
      </c>
      <c r="H15" s="5" t="s">
        <v>1370</v>
      </c>
    </row>
    <row r="16" spans="1:11" ht="27" x14ac:dyDescent="0.25">
      <c r="A16" s="5" t="str">
        <f>"06/07/2025"</f>
        <v>06/07/2025</v>
      </c>
      <c r="B16" s="5" t="s">
        <v>1102</v>
      </c>
      <c r="C16" s="5">
        <v>0</v>
      </c>
      <c r="D16" s="5">
        <v>1</v>
      </c>
      <c r="E16" s="5">
        <v>26</v>
      </c>
      <c r="F16" s="5">
        <v>37.26</v>
      </c>
      <c r="G16" s="5" t="s">
        <v>1244</v>
      </c>
      <c r="H16" s="5" t="s">
        <v>1371</v>
      </c>
    </row>
    <row r="17" spans="1:11" ht="27" x14ac:dyDescent="0.25">
      <c r="A17" s="5" t="str">
        <f>"07/07/2025"</f>
        <v>07/07/2025</v>
      </c>
      <c r="B17" s="5" t="s">
        <v>1105</v>
      </c>
      <c r="C17" s="5">
        <v>0</v>
      </c>
      <c r="D17" s="5">
        <v>1</v>
      </c>
      <c r="E17" s="5">
        <v>25</v>
      </c>
      <c r="F17" s="5">
        <v>37.26</v>
      </c>
      <c r="G17" s="5" t="s">
        <v>1244</v>
      </c>
      <c r="H17" s="5" t="s">
        <v>1341</v>
      </c>
    </row>
    <row r="18" spans="1:11" ht="27" x14ac:dyDescent="0.25">
      <c r="A18" s="5" t="str">
        <f>"07/07/2025"</f>
        <v>07/07/2025</v>
      </c>
      <c r="B18" s="5" t="s">
        <v>1114</v>
      </c>
      <c r="C18" s="5">
        <v>0</v>
      </c>
      <c r="D18" s="5">
        <v>4</v>
      </c>
      <c r="E18" s="5">
        <v>21</v>
      </c>
      <c r="F18" s="5">
        <v>37.26</v>
      </c>
      <c r="G18" s="5" t="s">
        <v>1244</v>
      </c>
      <c r="H18" s="5" t="s">
        <v>1249</v>
      </c>
      <c r="I18" s="5" t="s">
        <v>1250</v>
      </c>
      <c r="J18" s="5" t="s">
        <v>1251</v>
      </c>
      <c r="K18" s="5" t="s">
        <v>1252</v>
      </c>
    </row>
    <row r="19" spans="1:11" ht="27" x14ac:dyDescent="0.25">
      <c r="A19" s="5" t="str">
        <f>"07/07/2025"</f>
        <v>07/07/2025</v>
      </c>
      <c r="B19" s="5" t="s">
        <v>1108</v>
      </c>
      <c r="C19" s="5">
        <v>0</v>
      </c>
      <c r="D19" s="5">
        <v>1</v>
      </c>
      <c r="E19" s="5">
        <v>20</v>
      </c>
      <c r="F19" s="5">
        <v>37.26</v>
      </c>
      <c r="G19" s="5" t="s">
        <v>1244</v>
      </c>
      <c r="H19" s="5" t="s">
        <v>1372</v>
      </c>
    </row>
    <row r="20" spans="1:11" ht="27" x14ac:dyDescent="0.25">
      <c r="A20" s="5" t="str">
        <f>"07/07/2025"</f>
        <v>07/07/2025</v>
      </c>
      <c r="B20" s="5" t="s">
        <v>1102</v>
      </c>
      <c r="C20" s="5">
        <v>0</v>
      </c>
      <c r="D20" s="5">
        <v>1</v>
      </c>
      <c r="E20" s="5">
        <v>19</v>
      </c>
      <c r="F20" s="5">
        <v>37.26</v>
      </c>
      <c r="G20" s="5" t="s">
        <v>1244</v>
      </c>
      <c r="H20" s="5" t="s">
        <v>1373</v>
      </c>
    </row>
    <row r="21" spans="1:11" ht="27" x14ac:dyDescent="0.25">
      <c r="A21" s="5" t="str">
        <f>"08/07/2025"</f>
        <v>08/07/2025</v>
      </c>
      <c r="B21" s="5" t="s">
        <v>1108</v>
      </c>
      <c r="C21" s="5">
        <v>0</v>
      </c>
      <c r="D21" s="5">
        <v>1</v>
      </c>
      <c r="E21" s="5">
        <v>18</v>
      </c>
      <c r="F21" s="5">
        <v>37.26</v>
      </c>
      <c r="G21" s="5" t="s">
        <v>1244</v>
      </c>
      <c r="H21" s="5" t="s">
        <v>1374</v>
      </c>
    </row>
    <row r="22" spans="1:11" ht="27" x14ac:dyDescent="0.25">
      <c r="A22" s="5" t="str">
        <f>"09/07/2025"</f>
        <v>09/07/2025</v>
      </c>
      <c r="B22" s="5" t="s">
        <v>1178</v>
      </c>
      <c r="C22" s="5">
        <v>0</v>
      </c>
      <c r="D22" s="5">
        <v>5</v>
      </c>
      <c r="E22" s="5">
        <v>13</v>
      </c>
      <c r="F22" s="5">
        <v>37.26</v>
      </c>
      <c r="G22" s="5" t="s">
        <v>1244</v>
      </c>
      <c r="H22" s="5" t="s">
        <v>1253</v>
      </c>
      <c r="I22" s="5" t="s">
        <v>1254</v>
      </c>
      <c r="J22" s="6"/>
      <c r="K22" s="6"/>
    </row>
    <row r="23" spans="1:11" ht="27" x14ac:dyDescent="0.25">
      <c r="A23" s="5" t="str">
        <f>"10/07/2025"</f>
        <v>10/07/2025</v>
      </c>
      <c r="B23" s="5" t="s">
        <v>1170</v>
      </c>
      <c r="C23" s="5">
        <v>0</v>
      </c>
      <c r="D23" s="5">
        <v>1</v>
      </c>
      <c r="E23" s="5">
        <v>12</v>
      </c>
      <c r="F23" s="5">
        <v>37.26</v>
      </c>
      <c r="G23" s="5" t="s">
        <v>1244</v>
      </c>
      <c r="H23" s="5" t="s">
        <v>1375</v>
      </c>
    </row>
    <row r="24" spans="1:11" ht="27" x14ac:dyDescent="0.25">
      <c r="A24" s="5" t="str">
        <f>"14/07/2025"</f>
        <v>14/07/2025</v>
      </c>
      <c r="B24" s="5" t="s">
        <v>1105</v>
      </c>
      <c r="C24" s="5">
        <v>0</v>
      </c>
      <c r="D24" s="5">
        <v>1</v>
      </c>
      <c r="E24" s="5">
        <v>11</v>
      </c>
      <c r="F24" s="5">
        <v>37.26</v>
      </c>
      <c r="G24" s="5" t="s">
        <v>1244</v>
      </c>
      <c r="H24" s="5" t="s">
        <v>1376</v>
      </c>
    </row>
    <row r="25" spans="1:11" ht="27" x14ac:dyDescent="0.25">
      <c r="A25" s="5" t="str">
        <f>"15/07/2025"</f>
        <v>15/07/2025</v>
      </c>
      <c r="B25" s="5" t="s">
        <v>1129</v>
      </c>
      <c r="C25" s="5">
        <v>0</v>
      </c>
      <c r="D25" s="5">
        <v>1</v>
      </c>
      <c r="E25" s="5">
        <v>10</v>
      </c>
      <c r="F25" s="5">
        <v>37.26</v>
      </c>
      <c r="G25" s="5" t="s">
        <v>1244</v>
      </c>
      <c r="H25" s="5" t="s">
        <v>1261</v>
      </c>
    </row>
    <row r="26" spans="1:11" ht="27" x14ac:dyDescent="0.25">
      <c r="A26" s="5" t="str">
        <f>"15/07/2025"</f>
        <v>15/07/2025</v>
      </c>
      <c r="B26" s="5" t="s">
        <v>1129</v>
      </c>
      <c r="C26" s="5">
        <v>0</v>
      </c>
      <c r="D26" s="5">
        <v>1</v>
      </c>
      <c r="E26" s="5">
        <v>9</v>
      </c>
      <c r="F26" s="5">
        <v>37.26</v>
      </c>
      <c r="G26" s="5" t="s">
        <v>1244</v>
      </c>
      <c r="H26" s="5" t="s">
        <v>1261</v>
      </c>
    </row>
    <row r="27" spans="1:11" ht="27" x14ac:dyDescent="0.25">
      <c r="A27" s="5" t="str">
        <f>"17/07/2025"</f>
        <v>17/07/2025</v>
      </c>
      <c r="B27" s="5" t="s">
        <v>1114</v>
      </c>
      <c r="C27" s="5">
        <v>16</v>
      </c>
      <c r="D27" s="5">
        <v>0</v>
      </c>
      <c r="E27" s="5">
        <v>25</v>
      </c>
      <c r="F27" s="5">
        <v>37.26</v>
      </c>
      <c r="G27" s="5" t="s">
        <v>1332</v>
      </c>
      <c r="H27" s="6"/>
    </row>
    <row r="28" spans="1:11" ht="27" x14ac:dyDescent="0.25">
      <c r="A28" s="5" t="str">
        <f>"17/07/2025"</f>
        <v>17/07/2025</v>
      </c>
      <c r="B28" s="5" t="s">
        <v>1114</v>
      </c>
      <c r="C28" s="5">
        <v>0</v>
      </c>
      <c r="D28" s="5">
        <v>1</v>
      </c>
      <c r="E28" s="5">
        <v>24</v>
      </c>
      <c r="F28" s="5">
        <v>37.26</v>
      </c>
      <c r="G28" s="5" t="s">
        <v>1244</v>
      </c>
      <c r="H28" s="5" t="s">
        <v>1377</v>
      </c>
    </row>
    <row r="29" spans="1:11" ht="27" x14ac:dyDescent="0.25">
      <c r="A29" s="5" t="str">
        <f>"17/07/2025"</f>
        <v>17/07/2025</v>
      </c>
      <c r="B29" s="5" t="s">
        <v>1114</v>
      </c>
      <c r="C29" s="5">
        <v>0</v>
      </c>
      <c r="D29" s="5">
        <v>1</v>
      </c>
      <c r="E29" s="5">
        <v>23</v>
      </c>
      <c r="F29" s="5">
        <v>37.26</v>
      </c>
      <c r="G29" s="5" t="s">
        <v>1244</v>
      </c>
      <c r="H29" s="5" t="s">
        <v>1378</v>
      </c>
    </row>
    <row r="30" spans="1:11" ht="27" x14ac:dyDescent="0.25">
      <c r="A30" s="5" t="str">
        <f>"18/07/2025"</f>
        <v>18/07/2025</v>
      </c>
      <c r="B30" s="5" t="s">
        <v>1114</v>
      </c>
      <c r="C30" s="5">
        <v>0</v>
      </c>
      <c r="D30" s="5">
        <v>1</v>
      </c>
      <c r="E30" s="5">
        <v>22</v>
      </c>
      <c r="F30" s="5">
        <v>37.26</v>
      </c>
      <c r="G30" s="5" t="s">
        <v>1244</v>
      </c>
      <c r="H30" s="5" t="s">
        <v>1285</v>
      </c>
    </row>
    <row r="31" spans="1:11" ht="27" x14ac:dyDescent="0.25">
      <c r="A31" s="5" t="str">
        <f>"18/07/2025"</f>
        <v>18/07/2025</v>
      </c>
      <c r="B31" s="5" t="s">
        <v>1114</v>
      </c>
      <c r="C31" s="5">
        <v>0</v>
      </c>
      <c r="D31" s="5">
        <v>1</v>
      </c>
      <c r="E31" s="5">
        <v>21</v>
      </c>
      <c r="F31" s="5">
        <v>37.26</v>
      </c>
      <c r="G31" s="5" t="s">
        <v>1244</v>
      </c>
      <c r="H31" s="5" t="s">
        <v>1379</v>
      </c>
    </row>
    <row r="32" spans="1:11" ht="27" x14ac:dyDescent="0.25">
      <c r="A32" s="5" t="str">
        <f>"18/07/2025"</f>
        <v>18/07/2025</v>
      </c>
      <c r="B32" s="5" t="s">
        <v>1114</v>
      </c>
      <c r="C32" s="5">
        <v>0</v>
      </c>
      <c r="D32" s="5">
        <v>1</v>
      </c>
      <c r="E32" s="5">
        <v>20</v>
      </c>
      <c r="F32" s="5">
        <v>37.26</v>
      </c>
      <c r="G32" s="5" t="s">
        <v>1244</v>
      </c>
      <c r="H32" s="5" t="s">
        <v>1380</v>
      </c>
    </row>
    <row r="33" spans="1:8" ht="27" x14ac:dyDescent="0.25">
      <c r="A33" s="5" t="str">
        <f>"18/07/2025"</f>
        <v>18/07/2025</v>
      </c>
      <c r="B33" s="5" t="s">
        <v>1102</v>
      </c>
      <c r="C33" s="5">
        <v>0</v>
      </c>
      <c r="D33" s="5">
        <v>1</v>
      </c>
      <c r="E33" s="5">
        <v>19</v>
      </c>
      <c r="F33" s="5">
        <v>37.26</v>
      </c>
      <c r="G33" s="5" t="s">
        <v>1244</v>
      </c>
      <c r="H33" s="5" t="s">
        <v>1286</v>
      </c>
    </row>
    <row r="34" spans="1:8" ht="27" x14ac:dyDescent="0.25">
      <c r="A34" s="5" t="str">
        <f>"20/07/2025"</f>
        <v>20/07/2025</v>
      </c>
      <c r="B34" s="5" t="s">
        <v>1102</v>
      </c>
      <c r="C34" s="5">
        <v>0</v>
      </c>
      <c r="D34" s="5">
        <v>1</v>
      </c>
      <c r="E34" s="5">
        <v>18</v>
      </c>
      <c r="F34" s="5">
        <v>37.26</v>
      </c>
      <c r="G34" s="5" t="s">
        <v>1244</v>
      </c>
      <c r="H34" s="5" t="s">
        <v>1348</v>
      </c>
    </row>
    <row r="35" spans="1:8" ht="27" x14ac:dyDescent="0.25">
      <c r="A35" s="5" t="str">
        <f>"20/07/2025"</f>
        <v>20/07/2025</v>
      </c>
      <c r="B35" s="5" t="s">
        <v>1102</v>
      </c>
      <c r="C35" s="5">
        <v>0</v>
      </c>
      <c r="D35" s="5">
        <v>1</v>
      </c>
      <c r="E35" s="5">
        <v>17</v>
      </c>
      <c r="F35" s="5">
        <v>37.26</v>
      </c>
      <c r="G35" s="5" t="s">
        <v>1244</v>
      </c>
      <c r="H35" s="5" t="s">
        <v>1335</v>
      </c>
    </row>
    <row r="36" spans="1:8" ht="27" x14ac:dyDescent="0.25">
      <c r="A36" s="5" t="str">
        <f>"20/07/2025"</f>
        <v>20/07/2025</v>
      </c>
      <c r="B36" s="5" t="s">
        <v>1102</v>
      </c>
      <c r="C36" s="5">
        <v>0</v>
      </c>
      <c r="D36" s="5">
        <v>1</v>
      </c>
      <c r="E36" s="5">
        <v>16</v>
      </c>
      <c r="F36" s="5">
        <v>37.26</v>
      </c>
      <c r="G36" s="5" t="s">
        <v>1244</v>
      </c>
      <c r="H36" s="5" t="s">
        <v>1381</v>
      </c>
    </row>
    <row r="37" spans="1:8" ht="27" x14ac:dyDescent="0.25">
      <c r="A37" s="5" t="str">
        <f>"21/07/2025"</f>
        <v>21/07/2025</v>
      </c>
      <c r="B37" s="5" t="s">
        <v>1114</v>
      </c>
      <c r="C37" s="5">
        <v>0</v>
      </c>
      <c r="D37" s="5">
        <v>1</v>
      </c>
      <c r="E37" s="5">
        <v>15</v>
      </c>
      <c r="F37" s="5">
        <v>37.26</v>
      </c>
      <c r="G37" s="5" t="s">
        <v>1332</v>
      </c>
      <c r="H37" s="5" t="s">
        <v>1382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220C4-F09C-48E6-ADC1-7EC4EBB3A8AF}">
  <dimension ref="A1:K33"/>
  <sheetViews>
    <sheetView workbookViewId="0">
      <selection activeCell="C7" sqref="C7:I7"/>
    </sheetView>
  </sheetViews>
  <sheetFormatPr baseColWidth="10" defaultRowHeight="15" x14ac:dyDescent="0.25"/>
  <cols>
    <col min="1" max="1" width="11.5703125" customWidth="1"/>
    <col min="2" max="2" width="28.42578125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28" bestFit="1" customWidth="1"/>
    <col min="8" max="8" width="31.140625" bestFit="1" customWidth="1"/>
    <col min="9" max="9" width="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1383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"4064666315713"</f>
        <v>4064666315713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"4064666315713"</f>
        <v>4064666315713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21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32</v>
      </c>
      <c r="D10" s="5">
        <v>0</v>
      </c>
      <c r="E10" s="5">
        <v>32</v>
      </c>
      <c r="F10" s="5">
        <v>37.26</v>
      </c>
      <c r="G10" s="5" t="s">
        <v>1244</v>
      </c>
      <c r="H10" s="6"/>
    </row>
    <row r="11" spans="1:11" ht="27" x14ac:dyDescent="0.25">
      <c r="A11" s="5" t="str">
        <f>"03/07/2025"</f>
        <v>03/07/2025</v>
      </c>
      <c r="B11" s="5" t="s">
        <v>1105</v>
      </c>
      <c r="C11" s="5">
        <v>0</v>
      </c>
      <c r="D11" s="5">
        <v>1</v>
      </c>
      <c r="E11" s="5">
        <v>31</v>
      </c>
      <c r="F11" s="5">
        <v>37.26</v>
      </c>
      <c r="G11" s="5" t="s">
        <v>1244</v>
      </c>
      <c r="H11" s="5" t="s">
        <v>1338</v>
      </c>
    </row>
    <row r="12" spans="1:11" ht="27" x14ac:dyDescent="0.25">
      <c r="A12" s="5" t="str">
        <f>"04/07/2025"</f>
        <v>04/07/2025</v>
      </c>
      <c r="B12" s="5" t="s">
        <v>1102</v>
      </c>
      <c r="C12" s="5">
        <v>0</v>
      </c>
      <c r="D12" s="5">
        <v>1</v>
      </c>
      <c r="E12" s="5">
        <v>30</v>
      </c>
      <c r="F12" s="5">
        <v>37.26</v>
      </c>
      <c r="G12" s="5" t="s">
        <v>1244</v>
      </c>
      <c r="H12" s="5" t="s">
        <v>1339</v>
      </c>
    </row>
    <row r="13" spans="1:11" ht="27" x14ac:dyDescent="0.25">
      <c r="A13" s="5" t="str">
        <f>"05/07/2025"</f>
        <v>05/07/2025</v>
      </c>
      <c r="B13" s="5" t="s">
        <v>1105</v>
      </c>
      <c r="C13" s="5">
        <v>0</v>
      </c>
      <c r="D13" s="5">
        <v>1</v>
      </c>
      <c r="E13" s="5">
        <v>29</v>
      </c>
      <c r="F13" s="5">
        <v>37.26</v>
      </c>
      <c r="G13" s="5" t="s">
        <v>1244</v>
      </c>
      <c r="H13" s="5" t="s">
        <v>1369</v>
      </c>
    </row>
    <row r="14" spans="1:11" ht="27" x14ac:dyDescent="0.25">
      <c r="A14" s="5" t="str">
        <f>"07/07/2025"</f>
        <v>07/07/2025</v>
      </c>
      <c r="B14" s="5" t="s">
        <v>1114</v>
      </c>
      <c r="C14" s="5">
        <v>0</v>
      </c>
      <c r="D14" s="5">
        <v>4</v>
      </c>
      <c r="E14" s="5">
        <v>25</v>
      </c>
      <c r="F14" s="5">
        <v>37.26</v>
      </c>
      <c r="G14" s="5" t="s">
        <v>1244</v>
      </c>
      <c r="H14" s="5" t="s">
        <v>1249</v>
      </c>
      <c r="I14" s="5" t="s">
        <v>1250</v>
      </c>
      <c r="J14" s="5" t="s">
        <v>1251</v>
      </c>
      <c r="K14" s="5" t="s">
        <v>1252</v>
      </c>
    </row>
    <row r="15" spans="1:11" ht="27" x14ac:dyDescent="0.25">
      <c r="A15" s="5" t="str">
        <f>"07/07/2025"</f>
        <v>07/07/2025</v>
      </c>
      <c r="B15" s="5" t="s">
        <v>1108</v>
      </c>
      <c r="C15" s="5">
        <v>0</v>
      </c>
      <c r="D15" s="5">
        <v>1</v>
      </c>
      <c r="E15" s="5">
        <v>24</v>
      </c>
      <c r="F15" s="5">
        <v>37.26</v>
      </c>
      <c r="G15" s="5" t="s">
        <v>1244</v>
      </c>
      <c r="H15" s="5" t="s">
        <v>1372</v>
      </c>
    </row>
    <row r="16" spans="1:11" ht="27" x14ac:dyDescent="0.25">
      <c r="A16" s="5" t="str">
        <f>"07/07/2025"</f>
        <v>07/07/2025</v>
      </c>
      <c r="B16" s="5" t="s">
        <v>1102</v>
      </c>
      <c r="C16" s="5">
        <v>0</v>
      </c>
      <c r="D16" s="5">
        <v>1</v>
      </c>
      <c r="E16" s="5">
        <v>23</v>
      </c>
      <c r="F16" s="5">
        <v>37.26</v>
      </c>
      <c r="G16" s="5" t="s">
        <v>1244</v>
      </c>
      <c r="H16" s="5" t="s">
        <v>1373</v>
      </c>
    </row>
    <row r="17" spans="1:11" ht="27" x14ac:dyDescent="0.25">
      <c r="A17" s="5" t="str">
        <f>"08/07/2025"</f>
        <v>08/07/2025</v>
      </c>
      <c r="B17" s="5" t="s">
        <v>1108</v>
      </c>
      <c r="C17" s="5">
        <v>0</v>
      </c>
      <c r="D17" s="5">
        <v>1</v>
      </c>
      <c r="E17" s="5">
        <v>22</v>
      </c>
      <c r="F17" s="5">
        <v>37.26</v>
      </c>
      <c r="G17" s="5" t="s">
        <v>1244</v>
      </c>
      <c r="H17" s="5" t="s">
        <v>1374</v>
      </c>
    </row>
    <row r="18" spans="1:11" ht="27" x14ac:dyDescent="0.25">
      <c r="A18" s="5" t="str">
        <f>"09/07/2025"</f>
        <v>09/07/2025</v>
      </c>
      <c r="B18" s="5" t="s">
        <v>1178</v>
      </c>
      <c r="C18" s="5">
        <v>0</v>
      </c>
      <c r="D18" s="5">
        <v>5</v>
      </c>
      <c r="E18" s="5">
        <v>17</v>
      </c>
      <c r="F18" s="5">
        <v>37.26</v>
      </c>
      <c r="G18" s="5" t="s">
        <v>1244</v>
      </c>
      <c r="H18" s="5" t="s">
        <v>1253</v>
      </c>
      <c r="I18" s="5" t="s">
        <v>1254</v>
      </c>
      <c r="J18" s="6"/>
      <c r="K18" s="6"/>
    </row>
    <row r="19" spans="1:11" ht="27" x14ac:dyDescent="0.25">
      <c r="A19" s="5" t="str">
        <f>"10/07/2025"</f>
        <v>10/07/2025</v>
      </c>
      <c r="B19" s="5" t="s">
        <v>1170</v>
      </c>
      <c r="C19" s="5">
        <v>0</v>
      </c>
      <c r="D19" s="5">
        <v>1</v>
      </c>
      <c r="E19" s="5">
        <v>16</v>
      </c>
      <c r="F19" s="5">
        <v>37.26</v>
      </c>
      <c r="G19" s="5" t="s">
        <v>1244</v>
      </c>
      <c r="H19" s="5" t="s">
        <v>1375</v>
      </c>
    </row>
    <row r="20" spans="1:11" ht="27" x14ac:dyDescent="0.25">
      <c r="A20" s="5" t="str">
        <f>"13/07/2025"</f>
        <v>13/07/2025</v>
      </c>
      <c r="B20" s="5" t="s">
        <v>1102</v>
      </c>
      <c r="C20" s="5">
        <v>0</v>
      </c>
      <c r="D20" s="5">
        <v>1</v>
      </c>
      <c r="E20" s="5">
        <v>15</v>
      </c>
      <c r="F20" s="5">
        <v>37.26</v>
      </c>
      <c r="G20" s="5" t="s">
        <v>1244</v>
      </c>
      <c r="H20" s="5" t="s">
        <v>1384</v>
      </c>
    </row>
    <row r="21" spans="1:11" ht="27" x14ac:dyDescent="0.25">
      <c r="A21" s="5" t="str">
        <f>"14/07/2025"</f>
        <v>14/07/2025</v>
      </c>
      <c r="B21" s="5" t="s">
        <v>1105</v>
      </c>
      <c r="C21" s="5">
        <v>0</v>
      </c>
      <c r="D21" s="5">
        <v>1</v>
      </c>
      <c r="E21" s="5">
        <v>14</v>
      </c>
      <c r="F21" s="5">
        <v>37.26</v>
      </c>
      <c r="G21" s="5" t="s">
        <v>1244</v>
      </c>
      <c r="H21" s="5" t="s">
        <v>1385</v>
      </c>
    </row>
    <row r="22" spans="1:11" ht="27" x14ac:dyDescent="0.25">
      <c r="A22" s="5" t="str">
        <f>"14/07/2025"</f>
        <v>14/07/2025</v>
      </c>
      <c r="B22" s="5" t="s">
        <v>1105</v>
      </c>
      <c r="C22" s="5">
        <v>0</v>
      </c>
      <c r="D22" s="5">
        <v>1</v>
      </c>
      <c r="E22" s="5">
        <v>13</v>
      </c>
      <c r="F22" s="5">
        <v>37.26</v>
      </c>
      <c r="G22" s="5" t="s">
        <v>1244</v>
      </c>
      <c r="H22" s="5" t="s">
        <v>1376</v>
      </c>
    </row>
    <row r="23" spans="1:11" ht="27" x14ac:dyDescent="0.25">
      <c r="A23" s="5" t="str">
        <f>"15/07/2025"</f>
        <v>15/07/2025</v>
      </c>
      <c r="B23" s="5" t="s">
        <v>1114</v>
      </c>
      <c r="C23" s="5">
        <v>0</v>
      </c>
      <c r="D23" s="5">
        <v>1</v>
      </c>
      <c r="E23" s="5">
        <v>12</v>
      </c>
      <c r="F23" s="5">
        <v>37.26</v>
      </c>
      <c r="G23" s="5" t="s">
        <v>1244</v>
      </c>
      <c r="H23" s="5" t="s">
        <v>1386</v>
      </c>
    </row>
    <row r="24" spans="1:11" ht="27" x14ac:dyDescent="0.25">
      <c r="A24" s="5" t="str">
        <f>"17/07/2025"</f>
        <v>17/07/2025</v>
      </c>
      <c r="B24" s="5" t="s">
        <v>1178</v>
      </c>
      <c r="C24" s="5">
        <v>1</v>
      </c>
      <c r="D24" s="5">
        <v>0</v>
      </c>
      <c r="E24" s="5">
        <v>13</v>
      </c>
      <c r="F24" s="5">
        <v>37.26</v>
      </c>
      <c r="G24" s="5" t="s">
        <v>1387</v>
      </c>
      <c r="H24" s="6"/>
    </row>
    <row r="25" spans="1:11" ht="27" x14ac:dyDescent="0.25">
      <c r="A25" s="5" t="str">
        <f>"17/07/2025"</f>
        <v>17/07/2025</v>
      </c>
      <c r="B25" s="5" t="s">
        <v>1114</v>
      </c>
      <c r="C25" s="5">
        <v>16</v>
      </c>
      <c r="D25" s="5">
        <v>0</v>
      </c>
      <c r="E25" s="5">
        <v>29</v>
      </c>
      <c r="F25" s="5">
        <v>37.26</v>
      </c>
      <c r="G25" s="5" t="s">
        <v>1332</v>
      </c>
      <c r="H25" s="6"/>
    </row>
    <row r="26" spans="1:11" ht="27" x14ac:dyDescent="0.25">
      <c r="A26" s="5" t="str">
        <f>"17/07/2025"</f>
        <v>17/07/2025</v>
      </c>
      <c r="B26" s="5" t="s">
        <v>1114</v>
      </c>
      <c r="C26" s="5">
        <v>0</v>
      </c>
      <c r="D26" s="5">
        <v>1</v>
      </c>
      <c r="E26" s="5">
        <v>28</v>
      </c>
      <c r="F26" s="5">
        <v>37.26</v>
      </c>
      <c r="G26" s="5" t="s">
        <v>1387</v>
      </c>
      <c r="H26" s="5" t="s">
        <v>1377</v>
      </c>
    </row>
    <row r="27" spans="1:11" ht="27" x14ac:dyDescent="0.25">
      <c r="A27" s="5" t="str">
        <f>"17/07/2025"</f>
        <v>17/07/2025</v>
      </c>
      <c r="B27" s="5" t="s">
        <v>1114</v>
      </c>
      <c r="C27" s="5">
        <v>0</v>
      </c>
      <c r="D27" s="5">
        <v>1</v>
      </c>
      <c r="E27" s="5">
        <v>27</v>
      </c>
      <c r="F27" s="5">
        <v>37.26</v>
      </c>
      <c r="G27" s="5" t="s">
        <v>1244</v>
      </c>
      <c r="H27" s="5" t="s">
        <v>1378</v>
      </c>
    </row>
    <row r="28" spans="1:11" ht="27" x14ac:dyDescent="0.25">
      <c r="A28" s="5" t="str">
        <f>"18/07/2025"</f>
        <v>18/07/2025</v>
      </c>
      <c r="B28" s="5" t="s">
        <v>1114</v>
      </c>
      <c r="C28" s="5">
        <v>0</v>
      </c>
      <c r="D28" s="5">
        <v>1</v>
      </c>
      <c r="E28" s="5">
        <v>26</v>
      </c>
      <c r="F28" s="5">
        <v>37.26</v>
      </c>
      <c r="G28" s="5" t="s">
        <v>1244</v>
      </c>
      <c r="H28" s="5" t="s">
        <v>1285</v>
      </c>
    </row>
    <row r="29" spans="1:11" ht="27" x14ac:dyDescent="0.25">
      <c r="A29" s="5" t="str">
        <f>"18/07/2025"</f>
        <v>18/07/2025</v>
      </c>
      <c r="B29" s="5" t="s">
        <v>1114</v>
      </c>
      <c r="C29" s="5">
        <v>0</v>
      </c>
      <c r="D29" s="5">
        <v>1</v>
      </c>
      <c r="E29" s="5">
        <v>25</v>
      </c>
      <c r="F29" s="5">
        <v>37.26</v>
      </c>
      <c r="G29" s="5" t="s">
        <v>1244</v>
      </c>
      <c r="H29" s="5" t="s">
        <v>1379</v>
      </c>
    </row>
    <row r="30" spans="1:11" ht="27" x14ac:dyDescent="0.25">
      <c r="A30" s="5" t="str">
        <f>"18/07/2025"</f>
        <v>18/07/2025</v>
      </c>
      <c r="B30" s="5" t="s">
        <v>1114</v>
      </c>
      <c r="C30" s="5">
        <v>0</v>
      </c>
      <c r="D30" s="5">
        <v>1</v>
      </c>
      <c r="E30" s="5">
        <v>24</v>
      </c>
      <c r="F30" s="5">
        <v>37.26</v>
      </c>
      <c r="G30" s="5" t="s">
        <v>1244</v>
      </c>
      <c r="H30" s="5" t="s">
        <v>1380</v>
      </c>
    </row>
    <row r="31" spans="1:11" ht="27" x14ac:dyDescent="0.25">
      <c r="A31" s="5" t="str">
        <f>"18/07/2025"</f>
        <v>18/07/2025</v>
      </c>
      <c r="B31" s="5" t="s">
        <v>1102</v>
      </c>
      <c r="C31" s="5">
        <v>0</v>
      </c>
      <c r="D31" s="5">
        <v>1</v>
      </c>
      <c r="E31" s="5">
        <v>23</v>
      </c>
      <c r="F31" s="5">
        <v>37.26</v>
      </c>
      <c r="G31" s="5" t="s">
        <v>1244</v>
      </c>
      <c r="H31" s="5" t="s">
        <v>1286</v>
      </c>
    </row>
    <row r="32" spans="1:11" ht="27" x14ac:dyDescent="0.25">
      <c r="A32" s="5" t="str">
        <f>"20/07/2025"</f>
        <v>20/07/2025</v>
      </c>
      <c r="B32" s="5" t="s">
        <v>1102</v>
      </c>
      <c r="C32" s="5">
        <v>0</v>
      </c>
      <c r="D32" s="5">
        <v>1</v>
      </c>
      <c r="E32" s="5">
        <v>22</v>
      </c>
      <c r="F32" s="5">
        <v>37.26</v>
      </c>
      <c r="G32" s="5" t="s">
        <v>1244</v>
      </c>
      <c r="H32" s="5" t="s">
        <v>1335</v>
      </c>
    </row>
    <row r="33" spans="1:8" ht="27" x14ac:dyDescent="0.25">
      <c r="A33" s="5" t="str">
        <f>"20/07/2025"</f>
        <v>20/07/2025</v>
      </c>
      <c r="B33" s="5" t="s">
        <v>1102</v>
      </c>
      <c r="C33" s="5">
        <v>0</v>
      </c>
      <c r="D33" s="5">
        <v>1</v>
      </c>
      <c r="E33" s="5">
        <v>21</v>
      </c>
      <c r="F33" s="5">
        <v>37.26</v>
      </c>
      <c r="G33" s="5" t="s">
        <v>1244</v>
      </c>
      <c r="H33" s="5" t="s">
        <v>1381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A494B-3E8D-42FF-8ECD-45916111A19E}">
  <dimension ref="A1:K17"/>
  <sheetViews>
    <sheetView workbookViewId="0">
      <selection activeCell="C6" sqref="C6:I6"/>
    </sheetView>
  </sheetViews>
  <sheetFormatPr baseColWidth="10" defaultRowHeight="15" x14ac:dyDescent="0.25"/>
  <cols>
    <col min="1" max="1" width="10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19.85546875" customWidth="1"/>
    <col min="8" max="8" width="33.140625" customWidth="1"/>
    <col min="9" max="9" width="26.5703125" customWidth="1"/>
    <col min="10" max="10" width="14.85546875" customWidth="1"/>
    <col min="11" max="11" width="20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29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"4064666580050"</f>
        <v>4064666580050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"4064666580050"</f>
        <v>4064666580050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18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32</v>
      </c>
      <c r="D10" s="5">
        <v>0</v>
      </c>
      <c r="E10" s="5">
        <v>32</v>
      </c>
      <c r="F10" s="5">
        <v>80.319999999999993</v>
      </c>
      <c r="G10" s="5" t="s">
        <v>1244</v>
      </c>
      <c r="H10" s="6"/>
    </row>
    <row r="11" spans="1:11" ht="27" x14ac:dyDescent="0.25">
      <c r="A11" s="5" t="str">
        <f>"07/07/2025"</f>
        <v>07/07/2025</v>
      </c>
      <c r="B11" s="5" t="s">
        <v>1114</v>
      </c>
      <c r="C11" s="5">
        <v>0</v>
      </c>
      <c r="D11" s="5">
        <v>3</v>
      </c>
      <c r="E11" s="5">
        <v>29</v>
      </c>
      <c r="F11" s="5">
        <v>80.319999999999993</v>
      </c>
      <c r="G11" s="5" t="s">
        <v>1244</v>
      </c>
      <c r="H11" s="5" t="s">
        <v>1249</v>
      </c>
      <c r="I11" s="5" t="s">
        <v>1250</v>
      </c>
      <c r="J11" s="5" t="s">
        <v>1251</v>
      </c>
      <c r="K11" s="5" t="s">
        <v>1252</v>
      </c>
    </row>
    <row r="12" spans="1:11" ht="27" x14ac:dyDescent="0.25">
      <c r="A12" s="5" t="str">
        <f>"08/07/2025"</f>
        <v>08/07/2025</v>
      </c>
      <c r="B12" s="5" t="s">
        <v>1129</v>
      </c>
      <c r="C12" s="5">
        <v>0</v>
      </c>
      <c r="D12" s="5">
        <v>1</v>
      </c>
      <c r="E12" s="5">
        <v>28</v>
      </c>
      <c r="F12" s="5">
        <v>80.319999999999993</v>
      </c>
      <c r="G12" s="5" t="s">
        <v>1244</v>
      </c>
      <c r="H12" s="5" t="s">
        <v>1388</v>
      </c>
    </row>
    <row r="13" spans="1:11" ht="27" x14ac:dyDescent="0.25">
      <c r="A13" s="5" t="str">
        <f>"08/07/2025"</f>
        <v>08/07/2025</v>
      </c>
      <c r="B13" s="5" t="s">
        <v>1105</v>
      </c>
      <c r="C13" s="5">
        <v>0</v>
      </c>
      <c r="D13" s="5">
        <v>1</v>
      </c>
      <c r="E13" s="5">
        <v>27</v>
      </c>
      <c r="F13" s="5">
        <v>80.319999999999993</v>
      </c>
      <c r="G13" s="5" t="s">
        <v>1244</v>
      </c>
      <c r="H13" s="5" t="s">
        <v>1389</v>
      </c>
    </row>
    <row r="14" spans="1:11" ht="27" x14ac:dyDescent="0.25">
      <c r="A14" s="5" t="str">
        <f>"09/07/2025"</f>
        <v>09/07/2025</v>
      </c>
      <c r="B14" s="5" t="s">
        <v>1178</v>
      </c>
      <c r="C14" s="5">
        <v>0</v>
      </c>
      <c r="D14" s="5">
        <v>6</v>
      </c>
      <c r="E14" s="5">
        <v>21</v>
      </c>
      <c r="F14" s="5">
        <v>80.319999999999993</v>
      </c>
      <c r="G14" s="5" t="s">
        <v>1244</v>
      </c>
      <c r="H14" s="5" t="s">
        <v>1253</v>
      </c>
      <c r="I14" s="5" t="s">
        <v>1254</v>
      </c>
      <c r="J14" s="6"/>
      <c r="K14" s="6"/>
    </row>
    <row r="15" spans="1:11" ht="27" x14ac:dyDescent="0.25">
      <c r="A15" s="5" t="str">
        <f>"17/07/2025"</f>
        <v>17/07/2025</v>
      </c>
      <c r="B15" s="5" t="s">
        <v>1129</v>
      </c>
      <c r="C15" s="5">
        <v>0</v>
      </c>
      <c r="D15" s="5">
        <v>1</v>
      </c>
      <c r="E15" s="5">
        <v>20</v>
      </c>
      <c r="F15" s="5">
        <v>80.319999999999993</v>
      </c>
      <c r="G15" s="5" t="s">
        <v>1244</v>
      </c>
      <c r="H15" s="5" t="s">
        <v>1390</v>
      </c>
    </row>
    <row r="16" spans="1:11" ht="27" x14ac:dyDescent="0.25">
      <c r="A16" s="5" t="str">
        <f>"17/07/2025"</f>
        <v>17/07/2025</v>
      </c>
      <c r="B16" s="5" t="s">
        <v>1129</v>
      </c>
      <c r="C16" s="5">
        <v>0</v>
      </c>
      <c r="D16" s="5">
        <v>1</v>
      </c>
      <c r="E16" s="5">
        <v>19</v>
      </c>
      <c r="F16" s="5">
        <v>80.319999999999993</v>
      </c>
      <c r="G16" s="5" t="s">
        <v>1244</v>
      </c>
      <c r="H16" s="5" t="s">
        <v>1391</v>
      </c>
    </row>
    <row r="17" spans="1:8" ht="27" x14ac:dyDescent="0.25">
      <c r="A17" s="5" t="str">
        <f>"19/07/2025"</f>
        <v>19/07/2025</v>
      </c>
      <c r="B17" s="5" t="s">
        <v>1102</v>
      </c>
      <c r="C17" s="5">
        <v>0</v>
      </c>
      <c r="D17" s="5">
        <v>1</v>
      </c>
      <c r="E17" s="5">
        <v>18</v>
      </c>
      <c r="F17" s="5">
        <v>80.319999999999993</v>
      </c>
      <c r="G17" s="5" t="s">
        <v>1244</v>
      </c>
      <c r="H17" s="5" t="s">
        <v>1392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06BB-B187-43F1-9887-8D3203CAD5A6}">
  <dimension ref="A1:K27"/>
  <sheetViews>
    <sheetView workbookViewId="0">
      <selection activeCell="C5" sqref="C5:I5"/>
    </sheetView>
  </sheetViews>
  <sheetFormatPr baseColWidth="10" defaultRowHeight="15" x14ac:dyDescent="0.25"/>
  <cols>
    <col min="1" max="1" width="11.5703125" customWidth="1"/>
    <col min="2" max="2" width="28.42578125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41.85546875" bestFit="1" customWidth="1"/>
    <col min="8" max="8" width="30.28515625" bestFit="1" customWidth="1"/>
    <col min="9" max="9" width="13.425781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31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"8022297154756"</f>
        <v>8022297154756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"8022297154756"</f>
        <v>8022297154756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7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1114</v>
      </c>
      <c r="C10" s="5">
        <v>6</v>
      </c>
      <c r="D10" s="5">
        <v>0</v>
      </c>
      <c r="E10" s="5">
        <v>16</v>
      </c>
      <c r="F10" s="5">
        <v>30.85</v>
      </c>
      <c r="G10" s="5" t="s">
        <v>1393</v>
      </c>
      <c r="H10" s="6"/>
    </row>
    <row r="11" spans="1:11" ht="27" x14ac:dyDescent="0.25">
      <c r="A11" s="5" t="str">
        <f>"21/06/2025"</f>
        <v>21/06/2025</v>
      </c>
      <c r="B11" s="5" t="s">
        <v>1102</v>
      </c>
      <c r="C11" s="5">
        <v>0</v>
      </c>
      <c r="D11" s="5">
        <v>1</v>
      </c>
      <c r="E11" s="5">
        <v>15</v>
      </c>
      <c r="F11" s="5">
        <v>30.85</v>
      </c>
      <c r="G11" s="5" t="s">
        <v>1393</v>
      </c>
      <c r="H11" s="5" t="s">
        <v>1394</v>
      </c>
    </row>
    <row r="12" spans="1:11" ht="27" x14ac:dyDescent="0.25">
      <c r="A12" s="5" t="str">
        <f>"26/06/2025"</f>
        <v>26/06/2025</v>
      </c>
      <c r="B12" s="5" t="s">
        <v>1105</v>
      </c>
      <c r="C12" s="5">
        <v>0</v>
      </c>
      <c r="D12" s="5">
        <v>1</v>
      </c>
      <c r="E12" s="5">
        <v>14</v>
      </c>
      <c r="F12" s="5">
        <v>30.85</v>
      </c>
      <c r="G12" s="5" t="s">
        <v>1393</v>
      </c>
      <c r="H12" s="5" t="s">
        <v>1395</v>
      </c>
    </row>
    <row r="13" spans="1:11" ht="27" x14ac:dyDescent="0.25">
      <c r="A13" s="5" t="str">
        <f>"26/06/2025"</f>
        <v>26/06/2025</v>
      </c>
      <c r="B13" s="5" t="s">
        <v>1105</v>
      </c>
      <c r="C13" s="5">
        <v>0</v>
      </c>
      <c r="D13" s="5">
        <v>1</v>
      </c>
      <c r="E13" s="5">
        <v>13</v>
      </c>
      <c r="F13" s="5">
        <v>30.85</v>
      </c>
      <c r="G13" s="5" t="s">
        <v>1393</v>
      </c>
      <c r="H13" s="5" t="s">
        <v>1396</v>
      </c>
    </row>
    <row r="14" spans="1:11" ht="27" x14ac:dyDescent="0.25">
      <c r="A14" s="5" t="str">
        <f>"26/06/2025"</f>
        <v>26/06/2025</v>
      </c>
      <c r="B14" s="5" t="s">
        <v>1114</v>
      </c>
      <c r="C14" s="5">
        <v>0</v>
      </c>
      <c r="D14" s="5">
        <v>1</v>
      </c>
      <c r="E14" s="5">
        <v>12</v>
      </c>
      <c r="F14" s="5">
        <v>30.85</v>
      </c>
      <c r="G14" s="5" t="s">
        <v>1393</v>
      </c>
      <c r="H14" s="5" t="s">
        <v>1397</v>
      </c>
    </row>
    <row r="15" spans="1:11" ht="27" x14ac:dyDescent="0.25">
      <c r="A15" s="5" t="str">
        <f>"02/07/2025"</f>
        <v>02/07/2025</v>
      </c>
      <c r="B15" s="5" t="s">
        <v>1129</v>
      </c>
      <c r="C15" s="5">
        <v>0</v>
      </c>
      <c r="D15" s="5">
        <v>1</v>
      </c>
      <c r="E15" s="5">
        <v>11</v>
      </c>
      <c r="F15" s="5">
        <v>30.85</v>
      </c>
      <c r="G15" s="5" t="s">
        <v>1393</v>
      </c>
      <c r="H15" s="5" t="s">
        <v>1398</v>
      </c>
    </row>
    <row r="16" spans="1:11" ht="27" x14ac:dyDescent="0.25">
      <c r="A16" s="5" t="str">
        <f>"05/07/2025"</f>
        <v>05/07/2025</v>
      </c>
      <c r="B16" s="5" t="s">
        <v>1102</v>
      </c>
      <c r="C16" s="5">
        <v>0</v>
      </c>
      <c r="D16" s="5">
        <v>1</v>
      </c>
      <c r="E16" s="5">
        <v>10</v>
      </c>
      <c r="F16" s="5">
        <v>30.85</v>
      </c>
      <c r="G16" s="5" t="s">
        <v>1393</v>
      </c>
      <c r="H16" s="5" t="s">
        <v>1399</v>
      </c>
    </row>
    <row r="17" spans="1:8" ht="27" x14ac:dyDescent="0.25">
      <c r="A17" s="5" t="str">
        <f>"08/07/2025"</f>
        <v>08/07/2025</v>
      </c>
      <c r="B17" s="5" t="s">
        <v>1105</v>
      </c>
      <c r="C17" s="5">
        <v>0</v>
      </c>
      <c r="D17" s="5">
        <v>1</v>
      </c>
      <c r="E17" s="5">
        <v>9</v>
      </c>
      <c r="F17" s="5">
        <v>30.85</v>
      </c>
      <c r="G17" s="5" t="s">
        <v>1400</v>
      </c>
      <c r="H17" s="5" t="s">
        <v>1401</v>
      </c>
    </row>
    <row r="18" spans="1:8" ht="27" x14ac:dyDescent="0.25">
      <c r="A18" s="5" t="str">
        <f>"09/07/2025"</f>
        <v>09/07/2025</v>
      </c>
      <c r="B18" s="5" t="s">
        <v>1114</v>
      </c>
      <c r="C18" s="5">
        <v>9</v>
      </c>
      <c r="D18" s="5">
        <v>0</v>
      </c>
      <c r="E18" s="5">
        <v>18</v>
      </c>
      <c r="F18" s="5">
        <v>29.38</v>
      </c>
      <c r="G18" s="5" t="s">
        <v>1300</v>
      </c>
      <c r="H18" s="6"/>
    </row>
    <row r="19" spans="1:8" ht="27" x14ac:dyDescent="0.25">
      <c r="A19" s="5" t="str">
        <f>"13/07/2025"</f>
        <v>13/07/2025</v>
      </c>
      <c r="B19" s="5" t="s">
        <v>1102</v>
      </c>
      <c r="C19" s="5">
        <v>0</v>
      </c>
      <c r="D19" s="5">
        <v>1</v>
      </c>
      <c r="E19" s="5">
        <v>17</v>
      </c>
      <c r="F19" s="5">
        <v>30.85</v>
      </c>
      <c r="G19" s="5" t="s">
        <v>1400</v>
      </c>
      <c r="H19" s="5" t="s">
        <v>1402</v>
      </c>
    </row>
    <row r="20" spans="1:8" ht="27" x14ac:dyDescent="0.25">
      <c r="A20" s="5" t="str">
        <f>"13/07/2025"</f>
        <v>13/07/2025</v>
      </c>
      <c r="B20" s="5" t="s">
        <v>1102</v>
      </c>
      <c r="C20" s="5">
        <v>0</v>
      </c>
      <c r="D20" s="5">
        <v>1</v>
      </c>
      <c r="E20" s="5">
        <v>16</v>
      </c>
      <c r="F20" s="5">
        <v>30.85</v>
      </c>
      <c r="G20" s="5" t="s">
        <v>1400</v>
      </c>
      <c r="H20" s="5" t="s">
        <v>1403</v>
      </c>
    </row>
    <row r="21" spans="1:8" ht="27" x14ac:dyDescent="0.25">
      <c r="A21" s="5" t="str">
        <f>"13/07/2025"</f>
        <v>13/07/2025</v>
      </c>
      <c r="B21" s="5" t="s">
        <v>1102</v>
      </c>
      <c r="C21" s="5">
        <v>0</v>
      </c>
      <c r="D21" s="5">
        <v>1</v>
      </c>
      <c r="E21" s="5">
        <v>15</v>
      </c>
      <c r="F21" s="5">
        <v>30.85</v>
      </c>
      <c r="G21" s="5" t="s">
        <v>1400</v>
      </c>
      <c r="H21" s="5" t="s">
        <v>1404</v>
      </c>
    </row>
    <row r="22" spans="1:8" ht="27" x14ac:dyDescent="0.25">
      <c r="A22" s="5" t="str">
        <f>"14/07/2025"</f>
        <v>14/07/2025</v>
      </c>
      <c r="B22" s="5" t="s">
        <v>1102</v>
      </c>
      <c r="C22" s="5">
        <v>1</v>
      </c>
      <c r="D22" s="5">
        <v>0</v>
      </c>
      <c r="E22" s="5">
        <v>16</v>
      </c>
      <c r="F22" s="5">
        <v>30.85</v>
      </c>
      <c r="G22" s="5" t="s">
        <v>1405</v>
      </c>
      <c r="H22" s="6"/>
    </row>
    <row r="23" spans="1:8" ht="27" x14ac:dyDescent="0.25">
      <c r="A23" s="5" t="str">
        <f>"14/07/2025"</f>
        <v>14/07/2025</v>
      </c>
      <c r="B23" s="5" t="s">
        <v>1105</v>
      </c>
      <c r="C23" s="5">
        <v>0</v>
      </c>
      <c r="D23" s="5">
        <v>1</v>
      </c>
      <c r="E23" s="5">
        <v>15</v>
      </c>
      <c r="F23" s="5">
        <v>30.85</v>
      </c>
      <c r="G23" s="5" t="s">
        <v>1405</v>
      </c>
      <c r="H23" s="5" t="s">
        <v>1406</v>
      </c>
    </row>
    <row r="24" spans="1:8" ht="27" x14ac:dyDescent="0.25">
      <c r="A24" s="5" t="str">
        <f>"16/07/2025"</f>
        <v>16/07/2025</v>
      </c>
      <c r="B24" s="5" t="s">
        <v>1114</v>
      </c>
      <c r="C24" s="5">
        <v>0</v>
      </c>
      <c r="D24" s="5">
        <v>1</v>
      </c>
      <c r="E24" s="5">
        <v>14</v>
      </c>
      <c r="F24" s="5">
        <v>30.85</v>
      </c>
      <c r="G24" s="5" t="s">
        <v>1400</v>
      </c>
      <c r="H24" s="5" t="s">
        <v>1407</v>
      </c>
    </row>
    <row r="25" spans="1:8" ht="27" x14ac:dyDescent="0.25">
      <c r="A25" s="5" t="str">
        <f>"17/07/2025"</f>
        <v>17/07/2025</v>
      </c>
      <c r="B25" s="5" t="s">
        <v>1114</v>
      </c>
      <c r="C25" s="5">
        <v>0</v>
      </c>
      <c r="D25" s="5">
        <v>1</v>
      </c>
      <c r="E25" s="5">
        <v>13</v>
      </c>
      <c r="F25" s="5">
        <v>30.85</v>
      </c>
      <c r="G25" s="5" t="s">
        <v>1400</v>
      </c>
      <c r="H25" s="5" t="s">
        <v>1408</v>
      </c>
    </row>
    <row r="26" spans="1:8" ht="27" x14ac:dyDescent="0.25">
      <c r="A26" s="5" t="str">
        <f>"18/07/2025"</f>
        <v>18/07/2025</v>
      </c>
      <c r="B26" s="5" t="s">
        <v>1129</v>
      </c>
      <c r="C26" s="5">
        <v>0</v>
      </c>
      <c r="D26" s="5">
        <v>1</v>
      </c>
      <c r="E26" s="5">
        <v>12</v>
      </c>
      <c r="F26" s="5">
        <v>30.85</v>
      </c>
      <c r="G26" s="5" t="s">
        <v>1400</v>
      </c>
      <c r="H26" s="5" t="s">
        <v>1409</v>
      </c>
    </row>
    <row r="27" spans="1:8" ht="27" x14ac:dyDescent="0.25">
      <c r="A27" s="5" t="str">
        <f>"19/07/2025"</f>
        <v>19/07/2025</v>
      </c>
      <c r="B27" s="5" t="s">
        <v>1178</v>
      </c>
      <c r="C27" s="5">
        <v>0</v>
      </c>
      <c r="D27" s="5">
        <v>5</v>
      </c>
      <c r="E27" s="5">
        <v>7</v>
      </c>
      <c r="F27" s="5">
        <v>30.26</v>
      </c>
      <c r="G27" s="5" t="s">
        <v>1410</v>
      </c>
      <c r="H27" s="5" t="s">
        <v>1411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AA61D-F1E8-4FEB-BB21-61543D019F89}">
  <dimension ref="A1:K42"/>
  <sheetViews>
    <sheetView workbookViewId="0">
      <selection activeCell="C6" sqref="C6:I6"/>
    </sheetView>
  </sheetViews>
  <sheetFormatPr baseColWidth="10" defaultRowHeight="15" x14ac:dyDescent="0.25"/>
  <cols>
    <col min="1" max="1" width="12.140625" customWidth="1"/>
    <col min="2" max="2" width="28.42578125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41.85546875" bestFit="1" customWidth="1"/>
    <col min="8" max="8" width="30.28515625" bestFit="1" customWidth="1"/>
    <col min="9" max="9" width="13.425781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33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"8022297064956"</f>
        <v>8022297064956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"8022297064956"</f>
        <v>8022297064956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15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7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14</v>
      </c>
      <c r="F10" s="5">
        <v>34.479999999999997</v>
      </c>
      <c r="G10" s="5" t="s">
        <v>1271</v>
      </c>
      <c r="H10" s="5" t="s">
        <v>1412</v>
      </c>
    </row>
    <row r="11" spans="1:11" ht="27" x14ac:dyDescent="0.25">
      <c r="A11" s="5" t="str">
        <f>"21/06/2025"</f>
        <v>21/06/2025</v>
      </c>
      <c r="B11" s="5" t="s">
        <v>1102</v>
      </c>
      <c r="C11" s="5">
        <v>0</v>
      </c>
      <c r="D11" s="5">
        <v>1</v>
      </c>
      <c r="E11" s="5">
        <v>13</v>
      </c>
      <c r="F11" s="5">
        <v>34.479999999999997</v>
      </c>
      <c r="G11" s="5" t="s">
        <v>1271</v>
      </c>
      <c r="H11" s="5" t="s">
        <v>1413</v>
      </c>
    </row>
    <row r="12" spans="1:11" ht="27" x14ac:dyDescent="0.25">
      <c r="A12" s="5" t="str">
        <f>"23/06/2025"</f>
        <v>23/06/2025</v>
      </c>
      <c r="B12" s="5" t="s">
        <v>1102</v>
      </c>
      <c r="C12" s="5">
        <v>0</v>
      </c>
      <c r="D12" s="5">
        <v>1</v>
      </c>
      <c r="E12" s="5">
        <v>12</v>
      </c>
      <c r="F12" s="5">
        <v>34.479999999999997</v>
      </c>
      <c r="G12" s="5" t="s">
        <v>1271</v>
      </c>
      <c r="H12" s="5" t="s">
        <v>1414</v>
      </c>
    </row>
    <row r="13" spans="1:11" ht="27" x14ac:dyDescent="0.25">
      <c r="A13" s="5" t="str">
        <f>"23/06/2025"</f>
        <v>23/06/2025</v>
      </c>
      <c r="B13" s="5" t="s">
        <v>1102</v>
      </c>
      <c r="C13" s="5">
        <v>0</v>
      </c>
      <c r="D13" s="5">
        <v>1</v>
      </c>
      <c r="E13" s="5">
        <v>11</v>
      </c>
      <c r="F13" s="5">
        <v>34.479999999999997</v>
      </c>
      <c r="G13" s="5" t="s">
        <v>1271</v>
      </c>
      <c r="H13" s="5" t="s">
        <v>1415</v>
      </c>
    </row>
    <row r="14" spans="1:11" ht="27" x14ac:dyDescent="0.25">
      <c r="A14" s="5" t="str">
        <f>"23/06/2025"</f>
        <v>23/06/2025</v>
      </c>
      <c r="B14" s="5" t="s">
        <v>1102</v>
      </c>
      <c r="C14" s="5">
        <v>0</v>
      </c>
      <c r="D14" s="5">
        <v>1</v>
      </c>
      <c r="E14" s="5">
        <v>10</v>
      </c>
      <c r="F14" s="5">
        <v>34.479999999999997</v>
      </c>
      <c r="G14" s="5" t="s">
        <v>1271</v>
      </c>
      <c r="H14" s="5" t="s">
        <v>1416</v>
      </c>
    </row>
    <row r="15" spans="1:11" ht="27" x14ac:dyDescent="0.25">
      <c r="A15" s="5" t="str">
        <f>"23/06/2025"</f>
        <v>23/06/2025</v>
      </c>
      <c r="B15" s="5" t="s">
        <v>1105</v>
      </c>
      <c r="C15" s="5">
        <v>0</v>
      </c>
      <c r="D15" s="5">
        <v>1</v>
      </c>
      <c r="E15" s="5">
        <v>9</v>
      </c>
      <c r="F15" s="5">
        <v>34.479999999999997</v>
      </c>
      <c r="G15" s="5" t="s">
        <v>1271</v>
      </c>
      <c r="H15" s="5" t="s">
        <v>1417</v>
      </c>
    </row>
    <row r="16" spans="1:11" ht="27" x14ac:dyDescent="0.25">
      <c r="A16" s="5" t="str">
        <f>"25/06/2025"</f>
        <v>25/06/2025</v>
      </c>
      <c r="B16" s="5" t="s">
        <v>1105</v>
      </c>
      <c r="C16" s="5">
        <v>0</v>
      </c>
      <c r="D16" s="5">
        <v>1</v>
      </c>
      <c r="E16" s="5">
        <v>8</v>
      </c>
      <c r="F16" s="5">
        <v>34.479999999999997</v>
      </c>
      <c r="G16" s="5" t="s">
        <v>1418</v>
      </c>
      <c r="H16" s="5" t="s">
        <v>1419</v>
      </c>
    </row>
    <row r="17" spans="1:8" ht="27" x14ac:dyDescent="0.25">
      <c r="A17" s="5" t="str">
        <f>"26/06/2025"</f>
        <v>26/06/2025</v>
      </c>
      <c r="B17" s="5" t="s">
        <v>1114</v>
      </c>
      <c r="C17" s="5">
        <v>3</v>
      </c>
      <c r="D17" s="5">
        <v>0</v>
      </c>
      <c r="E17" s="5">
        <v>11</v>
      </c>
      <c r="F17" s="5">
        <v>34.479999999999997</v>
      </c>
      <c r="G17" s="5" t="s">
        <v>1292</v>
      </c>
      <c r="H17" s="6"/>
    </row>
    <row r="18" spans="1:8" ht="27" x14ac:dyDescent="0.25">
      <c r="A18" s="5" t="str">
        <f>"26/06/2025"</f>
        <v>26/06/2025</v>
      </c>
      <c r="B18" s="5" t="s">
        <v>1114</v>
      </c>
      <c r="C18" s="5">
        <v>0</v>
      </c>
      <c r="D18" s="5">
        <v>3</v>
      </c>
      <c r="E18" s="5">
        <v>8</v>
      </c>
      <c r="F18" s="5">
        <v>34.479999999999997</v>
      </c>
      <c r="G18" s="5" t="s">
        <v>1292</v>
      </c>
      <c r="H18" s="5" t="s">
        <v>1293</v>
      </c>
    </row>
    <row r="19" spans="1:8" ht="27" x14ac:dyDescent="0.25">
      <c r="A19" s="5" t="str">
        <f>"26/06/2025"</f>
        <v>26/06/2025</v>
      </c>
      <c r="B19" s="5" t="s">
        <v>1114</v>
      </c>
      <c r="C19" s="5">
        <v>3</v>
      </c>
      <c r="D19" s="5">
        <v>0</v>
      </c>
      <c r="E19" s="5">
        <v>11</v>
      </c>
      <c r="F19" s="5">
        <v>34.47</v>
      </c>
      <c r="G19" s="5" t="s">
        <v>1292</v>
      </c>
      <c r="H19" s="6"/>
    </row>
    <row r="20" spans="1:8" ht="27" x14ac:dyDescent="0.25">
      <c r="A20" s="5" t="str">
        <f>"27/06/2025"</f>
        <v>27/06/2025</v>
      </c>
      <c r="B20" s="5" t="s">
        <v>1108</v>
      </c>
      <c r="C20" s="5">
        <v>0</v>
      </c>
      <c r="D20" s="5">
        <v>1</v>
      </c>
      <c r="E20" s="5">
        <v>10</v>
      </c>
      <c r="F20" s="5">
        <v>34.47</v>
      </c>
      <c r="G20" s="5" t="s">
        <v>1292</v>
      </c>
      <c r="H20" s="5" t="s">
        <v>1420</v>
      </c>
    </row>
    <row r="21" spans="1:8" ht="27" x14ac:dyDescent="0.25">
      <c r="A21" s="5" t="str">
        <f>"28/06/2025"</f>
        <v>28/06/2025</v>
      </c>
      <c r="B21" s="5" t="s">
        <v>1105</v>
      </c>
      <c r="C21" s="5">
        <v>0</v>
      </c>
      <c r="D21" s="5">
        <v>1</v>
      </c>
      <c r="E21" s="5">
        <v>9</v>
      </c>
      <c r="F21" s="5">
        <v>34.47</v>
      </c>
      <c r="G21" s="5" t="s">
        <v>1292</v>
      </c>
      <c r="H21" s="5" t="s">
        <v>1421</v>
      </c>
    </row>
    <row r="22" spans="1:8" ht="27" x14ac:dyDescent="0.25">
      <c r="A22" s="5" t="str">
        <f>"28/06/2025"</f>
        <v>28/06/2025</v>
      </c>
      <c r="B22" s="5" t="s">
        <v>1102</v>
      </c>
      <c r="C22" s="5">
        <v>0</v>
      </c>
      <c r="D22" s="5">
        <v>1</v>
      </c>
      <c r="E22" s="5">
        <v>8</v>
      </c>
      <c r="F22" s="5">
        <v>34.47</v>
      </c>
      <c r="G22" s="5" t="s">
        <v>1292</v>
      </c>
      <c r="H22" s="5" t="s">
        <v>1422</v>
      </c>
    </row>
    <row r="23" spans="1:8" ht="27" x14ac:dyDescent="0.25">
      <c r="A23" s="5" t="str">
        <f>"30/06/2025"</f>
        <v>30/06/2025</v>
      </c>
      <c r="B23" s="5" t="s">
        <v>1105</v>
      </c>
      <c r="C23" s="5">
        <v>0</v>
      </c>
      <c r="D23" s="5">
        <v>1</v>
      </c>
      <c r="E23" s="5">
        <v>7</v>
      </c>
      <c r="F23" s="5">
        <v>34.479999999999997</v>
      </c>
      <c r="G23" s="5" t="s">
        <v>1418</v>
      </c>
      <c r="H23" s="5" t="s">
        <v>1359</v>
      </c>
    </row>
    <row r="24" spans="1:8" ht="27" x14ac:dyDescent="0.25">
      <c r="A24" s="5" t="str">
        <f>"01/07/2025"</f>
        <v>01/07/2025</v>
      </c>
      <c r="B24" s="5" t="s">
        <v>1114</v>
      </c>
      <c r="C24" s="5">
        <v>0</v>
      </c>
      <c r="D24" s="5">
        <v>1</v>
      </c>
      <c r="E24" s="5">
        <v>6</v>
      </c>
      <c r="F24" s="5">
        <v>34.479999999999997</v>
      </c>
      <c r="G24" s="5" t="s">
        <v>1418</v>
      </c>
      <c r="H24" s="5" t="s">
        <v>1423</v>
      </c>
    </row>
    <row r="25" spans="1:8" ht="27" x14ac:dyDescent="0.25">
      <c r="A25" s="5" t="str">
        <f>"02/07/2025"</f>
        <v>02/07/2025</v>
      </c>
      <c r="B25" s="5" t="s">
        <v>1105</v>
      </c>
      <c r="C25" s="5">
        <v>0</v>
      </c>
      <c r="D25" s="5">
        <v>1</v>
      </c>
      <c r="E25" s="5">
        <v>5</v>
      </c>
      <c r="F25" s="5">
        <v>34.479999999999997</v>
      </c>
      <c r="G25" s="5" t="s">
        <v>1418</v>
      </c>
      <c r="H25" s="5" t="s">
        <v>1424</v>
      </c>
    </row>
    <row r="26" spans="1:8" ht="27" x14ac:dyDescent="0.25">
      <c r="A26" s="5" t="str">
        <f>"04/07/2025"</f>
        <v>04/07/2025</v>
      </c>
      <c r="B26" s="5" t="s">
        <v>1102</v>
      </c>
      <c r="C26" s="5">
        <v>0</v>
      </c>
      <c r="D26" s="5">
        <v>1</v>
      </c>
      <c r="E26" s="5">
        <v>4</v>
      </c>
      <c r="F26" s="5">
        <v>34.479999999999997</v>
      </c>
      <c r="G26" s="5" t="s">
        <v>1418</v>
      </c>
      <c r="H26" s="5" t="s">
        <v>1425</v>
      </c>
    </row>
    <row r="27" spans="1:8" ht="27" x14ac:dyDescent="0.25">
      <c r="A27" s="5" t="str">
        <f>"05/07/2025"</f>
        <v>05/07/2025</v>
      </c>
      <c r="B27" s="5" t="s">
        <v>1102</v>
      </c>
      <c r="C27" s="5">
        <v>0</v>
      </c>
      <c r="D27" s="5">
        <v>1</v>
      </c>
      <c r="E27" s="5">
        <v>3</v>
      </c>
      <c r="F27" s="5">
        <v>34.479999999999997</v>
      </c>
      <c r="G27" s="5" t="s">
        <v>1418</v>
      </c>
      <c r="H27" s="5" t="s">
        <v>1426</v>
      </c>
    </row>
    <row r="28" spans="1:8" ht="27" x14ac:dyDescent="0.25">
      <c r="A28" s="5" t="str">
        <f>"06/07/2025"</f>
        <v>06/07/2025</v>
      </c>
      <c r="B28" s="5" t="s">
        <v>1102</v>
      </c>
      <c r="C28" s="5">
        <v>0</v>
      </c>
      <c r="D28" s="5">
        <v>1</v>
      </c>
      <c r="E28" s="5">
        <v>2</v>
      </c>
      <c r="F28" s="5">
        <v>34.479999999999997</v>
      </c>
      <c r="G28" s="5" t="s">
        <v>1418</v>
      </c>
      <c r="H28" s="5" t="s">
        <v>1427</v>
      </c>
    </row>
    <row r="29" spans="1:8" ht="27" x14ac:dyDescent="0.25">
      <c r="A29" s="5" t="str">
        <f>"07/07/2025"</f>
        <v>07/07/2025</v>
      </c>
      <c r="B29" s="5" t="s">
        <v>1105</v>
      </c>
      <c r="C29" s="5">
        <v>0</v>
      </c>
      <c r="D29" s="5">
        <v>1</v>
      </c>
      <c r="E29" s="5">
        <v>1</v>
      </c>
      <c r="F29" s="5">
        <v>34.479999999999997</v>
      </c>
      <c r="G29" s="5" t="s">
        <v>1418</v>
      </c>
      <c r="H29" s="5" t="s">
        <v>1428</v>
      </c>
    </row>
    <row r="30" spans="1:8" ht="27" x14ac:dyDescent="0.25">
      <c r="A30" s="5" t="str">
        <f>"09/07/2025"</f>
        <v>09/07/2025</v>
      </c>
      <c r="B30" s="5" t="s">
        <v>1129</v>
      </c>
      <c r="C30" s="5">
        <v>0</v>
      </c>
      <c r="D30" s="5">
        <v>1</v>
      </c>
      <c r="E30" s="5">
        <v>0</v>
      </c>
      <c r="F30" s="5">
        <v>34.479999999999997</v>
      </c>
      <c r="G30" s="5" t="s">
        <v>1418</v>
      </c>
      <c r="H30" s="5" t="s">
        <v>1429</v>
      </c>
    </row>
    <row r="31" spans="1:8" ht="27" x14ac:dyDescent="0.25">
      <c r="A31" s="5" t="str">
        <f>"09/07/2025"</f>
        <v>09/07/2025</v>
      </c>
      <c r="B31" s="5" t="s">
        <v>1114</v>
      </c>
      <c r="C31" s="5">
        <v>6</v>
      </c>
      <c r="D31" s="5">
        <v>0</v>
      </c>
      <c r="E31" s="5">
        <v>6</v>
      </c>
      <c r="F31" s="5">
        <v>34.47</v>
      </c>
      <c r="G31" s="5" t="s">
        <v>1300</v>
      </c>
      <c r="H31" s="6"/>
    </row>
    <row r="32" spans="1:8" ht="27" x14ac:dyDescent="0.25">
      <c r="A32" s="5" t="str">
        <f>"10/07/2025"</f>
        <v>10/07/2025</v>
      </c>
      <c r="B32" s="5" t="s">
        <v>1114</v>
      </c>
      <c r="C32" s="5">
        <v>0</v>
      </c>
      <c r="D32" s="5">
        <v>1</v>
      </c>
      <c r="E32" s="5">
        <v>5</v>
      </c>
      <c r="F32" s="5">
        <v>34.47</v>
      </c>
      <c r="G32" s="5" t="s">
        <v>1300</v>
      </c>
      <c r="H32" s="5" t="s">
        <v>1430</v>
      </c>
    </row>
    <row r="33" spans="1:8" ht="27" x14ac:dyDescent="0.25">
      <c r="A33" s="5" t="str">
        <f>"11/07/2025"</f>
        <v>11/07/2025</v>
      </c>
      <c r="B33" s="5" t="s">
        <v>1170</v>
      </c>
      <c r="C33" s="5">
        <v>0</v>
      </c>
      <c r="D33" s="5">
        <v>1</v>
      </c>
      <c r="E33" s="5">
        <v>4</v>
      </c>
      <c r="F33" s="5">
        <v>34.47</v>
      </c>
      <c r="G33" s="5" t="s">
        <v>1300</v>
      </c>
      <c r="H33" s="5" t="s">
        <v>1431</v>
      </c>
    </row>
    <row r="34" spans="1:8" ht="27" x14ac:dyDescent="0.25">
      <c r="A34" s="5" t="str">
        <f>"14/07/2025"</f>
        <v>14/07/2025</v>
      </c>
      <c r="B34" s="5" t="s">
        <v>1170</v>
      </c>
      <c r="C34" s="5">
        <v>1</v>
      </c>
      <c r="D34" s="5">
        <v>0</v>
      </c>
      <c r="E34" s="5">
        <v>5</v>
      </c>
      <c r="F34" s="5">
        <v>34.47</v>
      </c>
      <c r="G34" s="5" t="s">
        <v>1432</v>
      </c>
      <c r="H34" s="6"/>
    </row>
    <row r="35" spans="1:8" ht="27" x14ac:dyDescent="0.25">
      <c r="A35" s="5" t="str">
        <f>"14/07/2025"</f>
        <v>14/07/2025</v>
      </c>
      <c r="B35" s="5" t="s">
        <v>1102</v>
      </c>
      <c r="C35" s="5">
        <v>0</v>
      </c>
      <c r="D35" s="5">
        <v>1</v>
      </c>
      <c r="E35" s="5">
        <v>4</v>
      </c>
      <c r="F35" s="5">
        <v>34.47</v>
      </c>
      <c r="G35" s="5" t="s">
        <v>1432</v>
      </c>
      <c r="H35" s="5" t="s">
        <v>1433</v>
      </c>
    </row>
    <row r="36" spans="1:8" ht="27" x14ac:dyDescent="0.25">
      <c r="A36" s="5" t="str">
        <f>"15/07/2025"</f>
        <v>15/07/2025</v>
      </c>
      <c r="B36" s="5" t="s">
        <v>1114</v>
      </c>
      <c r="C36" s="5">
        <v>0</v>
      </c>
      <c r="D36" s="5">
        <v>1</v>
      </c>
      <c r="E36" s="5">
        <v>3</v>
      </c>
      <c r="F36" s="5">
        <v>34.47</v>
      </c>
      <c r="G36" s="5" t="s">
        <v>1300</v>
      </c>
      <c r="H36" s="5" t="s">
        <v>1434</v>
      </c>
    </row>
    <row r="37" spans="1:8" ht="27" x14ac:dyDescent="0.25">
      <c r="A37" s="5" t="str">
        <f>"16/07/2025"</f>
        <v>16/07/2025</v>
      </c>
      <c r="B37" s="5" t="s">
        <v>1114</v>
      </c>
      <c r="C37" s="5">
        <v>9</v>
      </c>
      <c r="D37" s="5">
        <v>0</v>
      </c>
      <c r="E37" s="5">
        <v>12</v>
      </c>
      <c r="F37" s="5">
        <v>34.47</v>
      </c>
      <c r="G37" s="5" t="s">
        <v>1435</v>
      </c>
      <c r="H37" s="6"/>
    </row>
    <row r="38" spans="1:8" ht="27" x14ac:dyDescent="0.25">
      <c r="A38" s="5" t="str">
        <f>"17/07/2025"</f>
        <v>17/07/2025</v>
      </c>
      <c r="B38" s="5" t="s">
        <v>1129</v>
      </c>
      <c r="C38" s="5">
        <v>0</v>
      </c>
      <c r="D38" s="5">
        <v>1</v>
      </c>
      <c r="E38" s="5">
        <v>11</v>
      </c>
      <c r="F38" s="5">
        <v>34.47</v>
      </c>
      <c r="G38" s="5" t="s">
        <v>1300</v>
      </c>
      <c r="H38" s="5" t="s">
        <v>1436</v>
      </c>
    </row>
    <row r="39" spans="1:8" ht="27" x14ac:dyDescent="0.25">
      <c r="A39" s="5" t="str">
        <f>"17/07/2025"</f>
        <v>17/07/2025</v>
      </c>
      <c r="B39" s="5" t="s">
        <v>1114</v>
      </c>
      <c r="C39" s="5">
        <v>0</v>
      </c>
      <c r="D39" s="5">
        <v>1</v>
      </c>
      <c r="E39" s="5">
        <v>10</v>
      </c>
      <c r="F39" s="5">
        <v>34.47</v>
      </c>
      <c r="G39" s="5" t="s">
        <v>1300</v>
      </c>
      <c r="H39" s="5" t="s">
        <v>1437</v>
      </c>
    </row>
    <row r="40" spans="1:8" ht="27" x14ac:dyDescent="0.25">
      <c r="A40" s="5" t="str">
        <f>"18/07/2025"</f>
        <v>18/07/2025</v>
      </c>
      <c r="B40" s="5" t="s">
        <v>1114</v>
      </c>
      <c r="C40" s="5">
        <v>0</v>
      </c>
      <c r="D40" s="5">
        <v>1</v>
      </c>
      <c r="E40" s="5">
        <v>9</v>
      </c>
      <c r="F40" s="5">
        <v>34.47</v>
      </c>
      <c r="G40" s="5" t="s">
        <v>1300</v>
      </c>
      <c r="H40" s="5" t="s">
        <v>1438</v>
      </c>
    </row>
    <row r="41" spans="1:8" ht="27" x14ac:dyDescent="0.25">
      <c r="A41" s="5" t="str">
        <f>"18/07/2025"</f>
        <v>18/07/2025</v>
      </c>
      <c r="B41" s="5" t="s">
        <v>1114</v>
      </c>
      <c r="C41" s="5">
        <v>0</v>
      </c>
      <c r="D41" s="5">
        <v>1</v>
      </c>
      <c r="E41" s="5">
        <v>8</v>
      </c>
      <c r="F41" s="5">
        <v>34.47</v>
      </c>
      <c r="G41" s="5" t="s">
        <v>1435</v>
      </c>
      <c r="H41" s="5" t="s">
        <v>1439</v>
      </c>
    </row>
    <row r="42" spans="1:8" ht="27" x14ac:dyDescent="0.25">
      <c r="A42" s="5" t="str">
        <f>"19/07/2025"</f>
        <v>19/07/2025</v>
      </c>
      <c r="B42" s="5" t="s">
        <v>1102</v>
      </c>
      <c r="C42" s="5">
        <v>0</v>
      </c>
      <c r="D42" s="5">
        <v>1</v>
      </c>
      <c r="E42" s="5">
        <v>7</v>
      </c>
      <c r="F42" s="5">
        <v>34.47</v>
      </c>
      <c r="G42" s="5" t="s">
        <v>1435</v>
      </c>
      <c r="H42" s="5" t="s">
        <v>1440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0288B-9805-4B9B-A7F5-322944DD5F61}">
  <dimension ref="A1:K23"/>
  <sheetViews>
    <sheetView workbookViewId="0">
      <selection activeCell="C4" sqref="C4:I4"/>
    </sheetView>
  </sheetViews>
  <sheetFormatPr baseColWidth="10" defaultRowHeight="15" x14ac:dyDescent="0.25"/>
  <cols>
    <col min="1" max="1" width="10.28515625" customWidth="1"/>
    <col min="2" max="2" width="34.7109375" customWidth="1"/>
    <col min="3" max="3" width="8.28515625" customWidth="1"/>
    <col min="4" max="4" width="6.85546875" customWidth="1"/>
    <col min="5" max="5" width="6.42578125" customWidth="1"/>
    <col min="6" max="6" width="19.28515625" customWidth="1"/>
    <col min="7" max="7" width="26.5703125" customWidth="1"/>
    <col min="8" max="8" width="21.28515625" customWidth="1"/>
    <col min="9" max="9" width="16.42578125" customWidth="1"/>
    <col min="10" max="10" width="17.140625" customWidth="1"/>
    <col min="11" max="11" width="23.140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279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"8022297095912"</f>
        <v>8022297095912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"1680548373721"</f>
        <v>1680548373721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11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8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"23/06/2025"</f>
        <v>23/06/2025</v>
      </c>
      <c r="B10" s="5" t="s">
        <v>1102</v>
      </c>
      <c r="C10" s="5">
        <v>0</v>
      </c>
      <c r="D10" s="5">
        <v>1</v>
      </c>
      <c r="E10" s="5">
        <v>10</v>
      </c>
      <c r="F10" s="5">
        <v>45.51</v>
      </c>
      <c r="G10" s="5" t="s">
        <v>1271</v>
      </c>
      <c r="H10" s="5" t="s">
        <v>1415</v>
      </c>
    </row>
    <row r="11" spans="1:11" ht="27" x14ac:dyDescent="0.25">
      <c r="A11" s="5" t="str">
        <f>"23/06/2025"</f>
        <v>23/06/2025</v>
      </c>
      <c r="B11" s="5" t="s">
        <v>1105</v>
      </c>
      <c r="C11" s="5">
        <v>0</v>
      </c>
      <c r="D11" s="5">
        <v>1</v>
      </c>
      <c r="E11" s="5">
        <v>9</v>
      </c>
      <c r="F11" s="5">
        <v>45.51</v>
      </c>
      <c r="G11" s="5" t="s">
        <v>1271</v>
      </c>
      <c r="H11" s="5" t="s">
        <v>1417</v>
      </c>
    </row>
    <row r="12" spans="1:11" ht="27" x14ac:dyDescent="0.25">
      <c r="A12" s="5" t="str">
        <f>"25/06/2025"</f>
        <v>25/06/2025</v>
      </c>
      <c r="B12" s="5" t="s">
        <v>1105</v>
      </c>
      <c r="C12" s="5">
        <v>0</v>
      </c>
      <c r="D12" s="5">
        <v>1</v>
      </c>
      <c r="E12" s="5">
        <v>8</v>
      </c>
      <c r="F12" s="5">
        <v>45.51</v>
      </c>
      <c r="G12" s="5" t="s">
        <v>1271</v>
      </c>
      <c r="H12" s="5" t="s">
        <v>1441</v>
      </c>
    </row>
    <row r="13" spans="1:11" ht="27" x14ac:dyDescent="0.25">
      <c r="A13" s="5" t="str">
        <f>"25/06/2025"</f>
        <v>25/06/2025</v>
      </c>
      <c r="B13" s="5" t="s">
        <v>1105</v>
      </c>
      <c r="C13" s="5">
        <v>0</v>
      </c>
      <c r="D13" s="5">
        <v>1</v>
      </c>
      <c r="E13" s="5">
        <v>7</v>
      </c>
      <c r="F13" s="5">
        <v>45.51</v>
      </c>
      <c r="G13" s="5" t="s">
        <v>1271</v>
      </c>
      <c r="H13" s="5" t="s">
        <v>1419</v>
      </c>
    </row>
    <row r="14" spans="1:11" ht="27" x14ac:dyDescent="0.25">
      <c r="A14" s="5" t="str">
        <f>"28/06/2025"</f>
        <v>28/06/2025</v>
      </c>
      <c r="B14" s="5" t="s">
        <v>1105</v>
      </c>
      <c r="C14" s="5">
        <v>0</v>
      </c>
      <c r="D14" s="5">
        <v>1</v>
      </c>
      <c r="E14" s="5">
        <v>6</v>
      </c>
      <c r="F14" s="5">
        <v>45.51</v>
      </c>
      <c r="G14" s="5" t="s">
        <v>1271</v>
      </c>
      <c r="H14" s="5" t="s">
        <v>1421</v>
      </c>
    </row>
    <row r="15" spans="1:11" ht="27" x14ac:dyDescent="0.25">
      <c r="A15" s="5" t="str">
        <f>"01/07/2025"</f>
        <v>01/07/2025</v>
      </c>
      <c r="B15" s="5" t="s">
        <v>1114</v>
      </c>
      <c r="C15" s="5">
        <v>0</v>
      </c>
      <c r="D15" s="5">
        <v>1</v>
      </c>
      <c r="E15" s="5">
        <v>5</v>
      </c>
      <c r="F15" s="5">
        <v>30.34</v>
      </c>
      <c r="G15" s="5" t="s">
        <v>1418</v>
      </c>
      <c r="H15" s="5" t="s">
        <v>1442</v>
      </c>
    </row>
    <row r="16" spans="1:11" ht="27" x14ac:dyDescent="0.25">
      <c r="A16" s="5" t="str">
        <f>"04/07/2025"</f>
        <v>04/07/2025</v>
      </c>
      <c r="B16" s="5" t="s">
        <v>1102</v>
      </c>
      <c r="C16" s="5">
        <v>0</v>
      </c>
      <c r="D16" s="5">
        <v>1</v>
      </c>
      <c r="E16" s="5">
        <v>4</v>
      </c>
      <c r="F16" s="5">
        <v>30.34</v>
      </c>
      <c r="G16" s="5" t="s">
        <v>1418</v>
      </c>
      <c r="H16" s="5" t="s">
        <v>1425</v>
      </c>
    </row>
    <row r="17" spans="1:8" ht="27" x14ac:dyDescent="0.25">
      <c r="A17" s="5" t="str">
        <f>"07/07/2025"</f>
        <v>07/07/2025</v>
      </c>
      <c r="B17" s="5" t="s">
        <v>1105</v>
      </c>
      <c r="C17" s="5">
        <v>0</v>
      </c>
      <c r="D17" s="5">
        <v>1</v>
      </c>
      <c r="E17" s="5">
        <v>3</v>
      </c>
      <c r="F17" s="5">
        <v>30.34</v>
      </c>
      <c r="G17" s="5" t="s">
        <v>1418</v>
      </c>
      <c r="H17" s="5" t="s">
        <v>1428</v>
      </c>
    </row>
    <row r="18" spans="1:8" ht="27" x14ac:dyDescent="0.25">
      <c r="A18" s="5" t="str">
        <f>"09/07/2025"</f>
        <v>09/07/2025</v>
      </c>
      <c r="B18" s="5" t="s">
        <v>1114</v>
      </c>
      <c r="C18" s="5">
        <v>3</v>
      </c>
      <c r="D18" s="5">
        <v>0</v>
      </c>
      <c r="E18" s="5">
        <v>6</v>
      </c>
      <c r="F18" s="5">
        <v>30.34</v>
      </c>
      <c r="G18" s="5" t="s">
        <v>1300</v>
      </c>
      <c r="H18" s="6"/>
    </row>
    <row r="19" spans="1:8" ht="27" x14ac:dyDescent="0.25">
      <c r="A19" s="5" t="str">
        <f>"10/07/2025"</f>
        <v>10/07/2025</v>
      </c>
      <c r="B19" s="5" t="s">
        <v>1114</v>
      </c>
      <c r="C19" s="5">
        <v>0</v>
      </c>
      <c r="D19" s="5">
        <v>1</v>
      </c>
      <c r="E19" s="5">
        <v>5</v>
      </c>
      <c r="F19" s="5">
        <v>30.34</v>
      </c>
      <c r="G19" s="5" t="s">
        <v>1418</v>
      </c>
      <c r="H19" s="5" t="s">
        <v>1430</v>
      </c>
    </row>
    <row r="20" spans="1:8" ht="27" x14ac:dyDescent="0.25">
      <c r="A20" s="5" t="str">
        <f>"16/07/2025"</f>
        <v>16/07/2025</v>
      </c>
      <c r="B20" s="5" t="s">
        <v>1114</v>
      </c>
      <c r="C20" s="5">
        <v>6</v>
      </c>
      <c r="D20" s="5">
        <v>0</v>
      </c>
      <c r="E20" s="5">
        <v>11</v>
      </c>
      <c r="F20" s="5">
        <v>30.34</v>
      </c>
      <c r="G20" s="5" t="s">
        <v>1435</v>
      </c>
      <c r="H20" s="6"/>
    </row>
    <row r="21" spans="1:8" ht="27" x14ac:dyDescent="0.25">
      <c r="A21" s="5" t="str">
        <f>"18/07/2025"</f>
        <v>18/07/2025</v>
      </c>
      <c r="B21" s="5" t="s">
        <v>1114</v>
      </c>
      <c r="C21" s="5">
        <v>0</v>
      </c>
      <c r="D21" s="5">
        <v>1</v>
      </c>
      <c r="E21" s="5">
        <v>10</v>
      </c>
      <c r="F21" s="5">
        <v>30.34</v>
      </c>
      <c r="G21" s="5" t="s">
        <v>1418</v>
      </c>
      <c r="H21" s="5" t="s">
        <v>1438</v>
      </c>
    </row>
    <row r="22" spans="1:8" ht="27" x14ac:dyDescent="0.25">
      <c r="A22" s="5" t="str">
        <f>"18/07/2025"</f>
        <v>18/07/2025</v>
      </c>
      <c r="B22" s="5" t="s">
        <v>1114</v>
      </c>
      <c r="C22" s="5">
        <v>0</v>
      </c>
      <c r="D22" s="5">
        <v>1</v>
      </c>
      <c r="E22" s="5">
        <v>9</v>
      </c>
      <c r="F22" s="5">
        <v>30.34</v>
      </c>
      <c r="G22" s="5" t="s">
        <v>1418</v>
      </c>
      <c r="H22" s="5" t="s">
        <v>1439</v>
      </c>
    </row>
    <row r="23" spans="1:8" ht="27" x14ac:dyDescent="0.25">
      <c r="A23" s="5" t="str">
        <f>"19/07/2025"</f>
        <v>19/07/2025</v>
      </c>
      <c r="B23" s="5" t="s">
        <v>1102</v>
      </c>
      <c r="C23" s="5">
        <v>0</v>
      </c>
      <c r="D23" s="5">
        <v>1</v>
      </c>
      <c r="E23" s="5">
        <v>8</v>
      </c>
      <c r="F23" s="5">
        <v>30.34</v>
      </c>
      <c r="G23" s="5" t="s">
        <v>1300</v>
      </c>
      <c r="H23" s="5" t="s">
        <v>1440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CB2CD-7C2A-4B94-BE7D-C09B653A486E}">
  <dimension ref="A1:K27"/>
  <sheetViews>
    <sheetView workbookViewId="0">
      <selection activeCell="C3" sqref="C3:I3"/>
    </sheetView>
  </sheetViews>
  <sheetFormatPr baseColWidth="10" defaultRowHeight="15" x14ac:dyDescent="0.25"/>
  <cols>
    <col min="1" max="1" width="11.28515625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45.85546875" customWidth="1"/>
    <col min="8" max="8" width="18.5703125" customWidth="1"/>
    <col min="9" max="9" width="14.28515625" customWidth="1"/>
    <col min="10" max="10" width="14.85546875" customWidth="1"/>
    <col min="11" max="11" width="20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659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"8022297064260"</f>
        <v>8022297064260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"8022297064260"</f>
        <v>8022297064260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8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1114</v>
      </c>
      <c r="C10" s="5">
        <v>9</v>
      </c>
      <c r="D10" s="5">
        <v>0</v>
      </c>
      <c r="E10" s="5">
        <v>9</v>
      </c>
      <c r="F10" s="5">
        <v>71.94</v>
      </c>
      <c r="G10" s="5" t="s">
        <v>1443</v>
      </c>
      <c r="H10" s="6"/>
    </row>
    <row r="11" spans="1:11" ht="27" x14ac:dyDescent="0.25">
      <c r="A11" s="5" t="str">
        <f>"20/06/2025"</f>
        <v>20/06/2025</v>
      </c>
      <c r="B11" s="5" t="s">
        <v>1102</v>
      </c>
      <c r="C11" s="5">
        <v>0</v>
      </c>
      <c r="D11" s="5">
        <v>1</v>
      </c>
      <c r="E11" s="5">
        <v>8</v>
      </c>
      <c r="F11" s="5">
        <v>71.94</v>
      </c>
      <c r="G11" s="5" t="s">
        <v>1443</v>
      </c>
      <c r="H11" s="5" t="s">
        <v>1444</v>
      </c>
    </row>
    <row r="12" spans="1:11" ht="27" x14ac:dyDescent="0.25">
      <c r="A12" s="5" t="str">
        <f>"02/07/2025"</f>
        <v>02/07/2025</v>
      </c>
      <c r="B12" s="5" t="s">
        <v>1105</v>
      </c>
      <c r="C12" s="5">
        <v>0</v>
      </c>
      <c r="D12" s="5">
        <v>1</v>
      </c>
      <c r="E12" s="5">
        <v>7</v>
      </c>
      <c r="F12" s="5">
        <v>71.94</v>
      </c>
      <c r="G12" s="5" t="s">
        <v>1443</v>
      </c>
      <c r="H12" s="5" t="s">
        <v>1445</v>
      </c>
    </row>
    <row r="13" spans="1:11" ht="27" x14ac:dyDescent="0.25">
      <c r="A13" s="5" t="str">
        <f>"02/07/2025"</f>
        <v>02/07/2025</v>
      </c>
      <c r="B13" s="5" t="s">
        <v>1105</v>
      </c>
      <c r="C13" s="5">
        <v>0</v>
      </c>
      <c r="D13" s="5">
        <v>1</v>
      </c>
      <c r="E13" s="5">
        <v>6</v>
      </c>
      <c r="F13" s="5">
        <v>71.94</v>
      </c>
      <c r="G13" s="5" t="s">
        <v>1443</v>
      </c>
      <c r="H13" s="5" t="s">
        <v>1445</v>
      </c>
    </row>
    <row r="14" spans="1:11" ht="27" x14ac:dyDescent="0.25">
      <c r="A14" s="5" t="str">
        <f>"03/07/2025"</f>
        <v>03/07/2025</v>
      </c>
      <c r="B14" s="5" t="s">
        <v>1105</v>
      </c>
      <c r="C14" s="5">
        <v>0</v>
      </c>
      <c r="D14" s="5">
        <v>1</v>
      </c>
      <c r="E14" s="5">
        <v>5</v>
      </c>
      <c r="F14" s="5">
        <v>71.94</v>
      </c>
      <c r="G14" s="5" t="s">
        <v>1443</v>
      </c>
      <c r="H14" s="5" t="s">
        <v>1446</v>
      </c>
    </row>
    <row r="15" spans="1:11" ht="27" x14ac:dyDescent="0.25">
      <c r="A15" s="5" t="str">
        <f>"04/07/2025"</f>
        <v>04/07/2025</v>
      </c>
      <c r="B15" s="5" t="s">
        <v>1114</v>
      </c>
      <c r="C15" s="5">
        <v>0</v>
      </c>
      <c r="D15" s="5">
        <v>1</v>
      </c>
      <c r="E15" s="5">
        <v>4</v>
      </c>
      <c r="F15" s="5">
        <v>71.94</v>
      </c>
      <c r="G15" s="5" t="s">
        <v>1443</v>
      </c>
      <c r="H15" s="5" t="s">
        <v>1447</v>
      </c>
    </row>
    <row r="16" spans="1:11" ht="27" x14ac:dyDescent="0.25">
      <c r="A16" s="5" t="str">
        <f>"09/07/2025"</f>
        <v>09/07/2025</v>
      </c>
      <c r="B16" s="5" t="s">
        <v>1114</v>
      </c>
      <c r="C16" s="5">
        <v>6</v>
      </c>
      <c r="D16" s="5">
        <v>0</v>
      </c>
      <c r="E16" s="5">
        <v>10</v>
      </c>
      <c r="F16" s="5">
        <v>71.94</v>
      </c>
      <c r="G16" s="5" t="s">
        <v>1300</v>
      </c>
      <c r="H16" s="6"/>
    </row>
    <row r="17" spans="1:8" ht="27" x14ac:dyDescent="0.25">
      <c r="A17" s="5" t="str">
        <f>"10/07/2025"</f>
        <v>10/07/2025</v>
      </c>
      <c r="B17" s="5" t="s">
        <v>1102</v>
      </c>
      <c r="C17" s="5">
        <v>0</v>
      </c>
      <c r="D17" s="5">
        <v>1</v>
      </c>
      <c r="E17" s="5">
        <v>9</v>
      </c>
      <c r="F17" s="5">
        <v>71.94</v>
      </c>
      <c r="G17" s="5" t="s">
        <v>1443</v>
      </c>
      <c r="H17" s="5" t="s">
        <v>1448</v>
      </c>
    </row>
    <row r="18" spans="1:8" ht="27" x14ac:dyDescent="0.25">
      <c r="A18" s="5" t="str">
        <f>"11/07/2025"</f>
        <v>11/07/2025</v>
      </c>
      <c r="B18" s="5" t="s">
        <v>1114</v>
      </c>
      <c r="C18" s="5">
        <v>0</v>
      </c>
      <c r="D18" s="5">
        <v>1</v>
      </c>
      <c r="E18" s="5">
        <v>8</v>
      </c>
      <c r="F18" s="5">
        <v>71.94</v>
      </c>
      <c r="G18" s="5" t="s">
        <v>1443</v>
      </c>
      <c r="H18" s="5" t="s">
        <v>1449</v>
      </c>
    </row>
    <row r="19" spans="1:8" ht="27" x14ac:dyDescent="0.25">
      <c r="A19" s="5" t="str">
        <f>"14/07/2025"</f>
        <v>14/07/2025</v>
      </c>
      <c r="B19" s="5" t="s">
        <v>1105</v>
      </c>
      <c r="C19" s="5">
        <v>0</v>
      </c>
      <c r="D19" s="5">
        <v>1</v>
      </c>
      <c r="E19" s="5">
        <v>7</v>
      </c>
      <c r="F19" s="5">
        <v>71.94</v>
      </c>
      <c r="G19" s="5" t="s">
        <v>1443</v>
      </c>
      <c r="H19" s="5" t="s">
        <v>1450</v>
      </c>
    </row>
    <row r="20" spans="1:8" ht="27" x14ac:dyDescent="0.25">
      <c r="A20" s="5" t="str">
        <f>"14/07/2025"</f>
        <v>14/07/2025</v>
      </c>
      <c r="B20" s="5" t="s">
        <v>1178</v>
      </c>
      <c r="C20" s="5">
        <v>0</v>
      </c>
      <c r="D20" s="5">
        <v>2</v>
      </c>
      <c r="E20" s="5">
        <v>5</v>
      </c>
      <c r="F20" s="5">
        <v>71.94</v>
      </c>
      <c r="G20" s="5" t="s">
        <v>1451</v>
      </c>
      <c r="H20" s="5" t="s">
        <v>1179</v>
      </c>
    </row>
    <row r="21" spans="1:8" ht="27" x14ac:dyDescent="0.25">
      <c r="A21" s="5" t="str">
        <f>"14/07/2025"</f>
        <v>14/07/2025</v>
      </c>
      <c r="B21" s="5" t="s">
        <v>1114</v>
      </c>
      <c r="C21" s="5">
        <v>0</v>
      </c>
      <c r="D21" s="5">
        <v>1</v>
      </c>
      <c r="E21" s="5">
        <v>4</v>
      </c>
      <c r="F21" s="5">
        <v>71.94</v>
      </c>
      <c r="G21" s="5" t="s">
        <v>1300</v>
      </c>
      <c r="H21" s="5" t="s">
        <v>1452</v>
      </c>
    </row>
    <row r="22" spans="1:8" ht="27" x14ac:dyDescent="0.25">
      <c r="A22" s="5" t="str">
        <f>"17/07/2025"</f>
        <v>17/07/2025</v>
      </c>
      <c r="B22" s="5" t="s">
        <v>1114</v>
      </c>
      <c r="C22" s="5">
        <v>9</v>
      </c>
      <c r="D22" s="5">
        <v>0</v>
      </c>
      <c r="E22" s="5">
        <v>13</v>
      </c>
      <c r="F22" s="5">
        <v>71.94</v>
      </c>
      <c r="G22" s="5" t="s">
        <v>1453</v>
      </c>
      <c r="H22" s="6"/>
    </row>
    <row r="23" spans="1:8" ht="27" x14ac:dyDescent="0.25">
      <c r="A23" s="5" t="str">
        <f>"17/07/2025"</f>
        <v>17/07/2025</v>
      </c>
      <c r="B23" s="5" t="s">
        <v>1102</v>
      </c>
      <c r="C23" s="5">
        <v>0</v>
      </c>
      <c r="D23" s="5">
        <v>1</v>
      </c>
      <c r="E23" s="5">
        <v>12</v>
      </c>
      <c r="F23" s="5">
        <v>71.94</v>
      </c>
      <c r="G23" s="5" t="s">
        <v>1300</v>
      </c>
      <c r="H23" s="5" t="s">
        <v>1454</v>
      </c>
    </row>
    <row r="24" spans="1:8" ht="27" x14ac:dyDescent="0.25">
      <c r="A24" s="5" t="str">
        <f>"17/07/2025"</f>
        <v>17/07/2025</v>
      </c>
      <c r="B24" s="5" t="s">
        <v>1114</v>
      </c>
      <c r="C24" s="5">
        <v>0</v>
      </c>
      <c r="D24" s="5">
        <v>1</v>
      </c>
      <c r="E24" s="5">
        <v>11</v>
      </c>
      <c r="F24" s="5">
        <v>71.94</v>
      </c>
      <c r="G24" s="5" t="s">
        <v>1300</v>
      </c>
      <c r="H24" s="5" t="s">
        <v>1455</v>
      </c>
    </row>
    <row r="25" spans="1:8" ht="27" x14ac:dyDescent="0.25">
      <c r="A25" s="5" t="str">
        <f>"18/07/2025"</f>
        <v>18/07/2025</v>
      </c>
      <c r="B25" s="5" t="s">
        <v>1114</v>
      </c>
      <c r="C25" s="5">
        <v>0</v>
      </c>
      <c r="D25" s="5">
        <v>1</v>
      </c>
      <c r="E25" s="5">
        <v>10</v>
      </c>
      <c r="F25" s="5">
        <v>71.94</v>
      </c>
      <c r="G25" s="5" t="s">
        <v>1300</v>
      </c>
      <c r="H25" s="5" t="s">
        <v>1456</v>
      </c>
    </row>
    <row r="26" spans="1:8" ht="27" x14ac:dyDescent="0.25">
      <c r="A26" s="5" t="str">
        <f>"18/07/2025"</f>
        <v>18/07/2025</v>
      </c>
      <c r="B26" s="5" t="s">
        <v>1114</v>
      </c>
      <c r="C26" s="5">
        <v>0</v>
      </c>
      <c r="D26" s="5">
        <v>1</v>
      </c>
      <c r="E26" s="5">
        <v>9</v>
      </c>
      <c r="F26" s="5">
        <v>71.94</v>
      </c>
      <c r="G26" s="5" t="s">
        <v>1300</v>
      </c>
      <c r="H26" s="5" t="s">
        <v>1457</v>
      </c>
    </row>
    <row r="27" spans="1:8" ht="27" x14ac:dyDescent="0.25">
      <c r="A27" s="5" t="str">
        <f>"20/07/2025"</f>
        <v>20/07/2025</v>
      </c>
      <c r="B27" s="5" t="s">
        <v>1102</v>
      </c>
      <c r="C27" s="5">
        <v>0</v>
      </c>
      <c r="D27" s="5">
        <v>1</v>
      </c>
      <c r="E27" s="5">
        <v>8</v>
      </c>
      <c r="F27" s="5">
        <v>71.94</v>
      </c>
      <c r="G27" s="5" t="s">
        <v>1453</v>
      </c>
      <c r="H27" s="5" t="s">
        <v>1458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2E576-7577-41DE-A793-A751327FFA52}">
  <dimension ref="A1:K22"/>
  <sheetViews>
    <sheetView workbookViewId="0">
      <selection activeCell="C4" sqref="C4:I4"/>
    </sheetView>
  </sheetViews>
  <sheetFormatPr baseColWidth="10" defaultRowHeight="15" x14ac:dyDescent="0.25"/>
  <cols>
    <col min="1" max="1" width="10.7109375" customWidth="1"/>
    <col min="2" max="2" width="32.28515625" customWidth="1"/>
    <col min="3" max="3" width="7.7109375" customWidth="1"/>
    <col min="4" max="4" width="6.42578125" customWidth="1"/>
    <col min="5" max="5" width="6" customWidth="1"/>
    <col min="6" max="6" width="18" customWidth="1"/>
    <col min="7" max="7" width="38.5703125" customWidth="1"/>
    <col min="8" max="8" width="19.7109375" customWidth="1"/>
    <col min="9" max="9" width="15.28515625" customWidth="1"/>
    <col min="10" max="10" width="15.85546875" customWidth="1"/>
    <col min="11" max="11" width="21.57031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381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"8022297064307"</f>
        <v>8022297064307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"8022297064307"</f>
        <v>8022297064307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6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"23/06/2025"</f>
        <v>23/06/2025</v>
      </c>
      <c r="B10" s="5" t="s">
        <v>1102</v>
      </c>
      <c r="C10" s="5">
        <v>0</v>
      </c>
      <c r="D10" s="5">
        <v>1</v>
      </c>
      <c r="E10" s="5">
        <v>9</v>
      </c>
      <c r="F10" s="5">
        <v>71.94</v>
      </c>
      <c r="G10" s="5" t="s">
        <v>1459</v>
      </c>
      <c r="H10" s="5" t="s">
        <v>1460</v>
      </c>
    </row>
    <row r="11" spans="1:11" ht="27" x14ac:dyDescent="0.25">
      <c r="A11" s="5" t="str">
        <f>"02/07/2025"</f>
        <v>02/07/2025</v>
      </c>
      <c r="B11" s="5" t="s">
        <v>1105</v>
      </c>
      <c r="C11" s="5">
        <v>0</v>
      </c>
      <c r="D11" s="5">
        <v>1</v>
      </c>
      <c r="E11" s="5">
        <v>8</v>
      </c>
      <c r="F11" s="5">
        <v>71.94</v>
      </c>
      <c r="G11" s="5" t="s">
        <v>1461</v>
      </c>
      <c r="H11" s="5" t="s">
        <v>1445</v>
      </c>
    </row>
    <row r="12" spans="1:11" ht="27" x14ac:dyDescent="0.25">
      <c r="A12" s="5" t="str">
        <f>"04/07/2025"</f>
        <v>04/07/2025</v>
      </c>
      <c r="B12" s="5" t="s">
        <v>1114</v>
      </c>
      <c r="C12" s="5">
        <v>0</v>
      </c>
      <c r="D12" s="5">
        <v>1</v>
      </c>
      <c r="E12" s="5">
        <v>7</v>
      </c>
      <c r="F12" s="5">
        <v>71.94</v>
      </c>
      <c r="G12" s="5" t="s">
        <v>1461</v>
      </c>
      <c r="H12" s="5" t="s">
        <v>1447</v>
      </c>
    </row>
    <row r="13" spans="1:11" ht="27" x14ac:dyDescent="0.25">
      <c r="A13" s="5" t="str">
        <f>"10/07/2025"</f>
        <v>10/07/2025</v>
      </c>
      <c r="B13" s="5" t="s">
        <v>1102</v>
      </c>
      <c r="C13" s="5">
        <v>0</v>
      </c>
      <c r="D13" s="5">
        <v>1</v>
      </c>
      <c r="E13" s="5">
        <v>6</v>
      </c>
      <c r="F13" s="5">
        <v>71.94</v>
      </c>
      <c r="G13" s="5" t="s">
        <v>1461</v>
      </c>
      <c r="H13" s="5" t="s">
        <v>1448</v>
      </c>
    </row>
    <row r="14" spans="1:11" ht="27" x14ac:dyDescent="0.25">
      <c r="A14" s="5" t="str">
        <f>"11/07/2025"</f>
        <v>11/07/2025</v>
      </c>
      <c r="B14" s="5" t="s">
        <v>1114</v>
      </c>
      <c r="C14" s="5">
        <v>0</v>
      </c>
      <c r="D14" s="5">
        <v>1</v>
      </c>
      <c r="E14" s="5">
        <v>5</v>
      </c>
      <c r="F14" s="5">
        <v>71.94</v>
      </c>
      <c r="G14" s="5" t="s">
        <v>1461</v>
      </c>
      <c r="H14" s="5" t="s">
        <v>1449</v>
      </c>
    </row>
    <row r="15" spans="1:11" ht="27" x14ac:dyDescent="0.25">
      <c r="A15" s="5" t="str">
        <f>"14/07/2025"</f>
        <v>14/07/2025</v>
      </c>
      <c r="B15" s="5" t="s">
        <v>1105</v>
      </c>
      <c r="C15" s="5">
        <v>0</v>
      </c>
      <c r="D15" s="5">
        <v>1</v>
      </c>
      <c r="E15" s="5">
        <v>4</v>
      </c>
      <c r="F15" s="5">
        <v>71.94</v>
      </c>
      <c r="G15" s="5" t="s">
        <v>1461</v>
      </c>
      <c r="H15" s="5" t="s">
        <v>1450</v>
      </c>
    </row>
    <row r="16" spans="1:11" ht="27" x14ac:dyDescent="0.25">
      <c r="A16" s="5" t="str">
        <f>"14/07/2025"</f>
        <v>14/07/2025</v>
      </c>
      <c r="B16" s="5" t="s">
        <v>1178</v>
      </c>
      <c r="C16" s="5">
        <v>0</v>
      </c>
      <c r="D16" s="5">
        <v>2</v>
      </c>
      <c r="E16" s="5">
        <v>2</v>
      </c>
      <c r="F16" s="5">
        <v>71.94</v>
      </c>
      <c r="G16" s="5" t="s">
        <v>1461</v>
      </c>
      <c r="H16" s="5" t="s">
        <v>1179</v>
      </c>
    </row>
    <row r="17" spans="1:8" ht="27" x14ac:dyDescent="0.25">
      <c r="A17" s="5" t="str">
        <f>"14/07/2025"</f>
        <v>14/07/2025</v>
      </c>
      <c r="B17" s="5" t="s">
        <v>1114</v>
      </c>
      <c r="C17" s="5">
        <v>0</v>
      </c>
      <c r="D17" s="5">
        <v>1</v>
      </c>
      <c r="E17" s="5">
        <v>1</v>
      </c>
      <c r="F17" s="5">
        <v>71.94</v>
      </c>
      <c r="G17" s="5" t="s">
        <v>1461</v>
      </c>
      <c r="H17" s="5" t="s">
        <v>1452</v>
      </c>
    </row>
    <row r="18" spans="1:8" ht="27" x14ac:dyDescent="0.25">
      <c r="A18" s="5" t="str">
        <f>"16/07/2025"</f>
        <v>16/07/2025</v>
      </c>
      <c r="B18" s="5" t="s">
        <v>1114</v>
      </c>
      <c r="C18" s="5">
        <v>9</v>
      </c>
      <c r="D18" s="5">
        <v>0</v>
      </c>
      <c r="E18" s="5">
        <v>10</v>
      </c>
      <c r="F18" s="5">
        <v>71.94</v>
      </c>
      <c r="G18" s="5" t="s">
        <v>1435</v>
      </c>
      <c r="H18" s="6"/>
    </row>
    <row r="19" spans="1:8" ht="27" x14ac:dyDescent="0.25">
      <c r="A19" s="5" t="str">
        <f>"17/07/2025"</f>
        <v>17/07/2025</v>
      </c>
      <c r="B19" s="5" t="s">
        <v>1102</v>
      </c>
      <c r="C19" s="5">
        <v>0</v>
      </c>
      <c r="D19" s="5">
        <v>1</v>
      </c>
      <c r="E19" s="5">
        <v>9</v>
      </c>
      <c r="F19" s="5">
        <v>71.94</v>
      </c>
      <c r="G19" s="5" t="s">
        <v>1461</v>
      </c>
      <c r="H19" s="5" t="s">
        <v>1454</v>
      </c>
    </row>
    <row r="20" spans="1:8" ht="27" x14ac:dyDescent="0.25">
      <c r="A20" s="5" t="str">
        <f>"17/07/2025"</f>
        <v>17/07/2025</v>
      </c>
      <c r="B20" s="5" t="s">
        <v>1114</v>
      </c>
      <c r="C20" s="5">
        <v>0</v>
      </c>
      <c r="D20" s="5">
        <v>1</v>
      </c>
      <c r="E20" s="5">
        <v>8</v>
      </c>
      <c r="F20" s="5">
        <v>71.94</v>
      </c>
      <c r="G20" s="5" t="s">
        <v>1435</v>
      </c>
      <c r="H20" s="5" t="s">
        <v>1455</v>
      </c>
    </row>
    <row r="21" spans="1:8" ht="27" x14ac:dyDescent="0.25">
      <c r="A21" s="5" t="str">
        <f>"18/07/2025"</f>
        <v>18/07/2025</v>
      </c>
      <c r="B21" s="5" t="s">
        <v>1114</v>
      </c>
      <c r="C21" s="5">
        <v>0</v>
      </c>
      <c r="D21" s="5">
        <v>1</v>
      </c>
      <c r="E21" s="5">
        <v>7</v>
      </c>
      <c r="F21" s="5">
        <v>71.94</v>
      </c>
      <c r="G21" s="5" t="s">
        <v>1435</v>
      </c>
      <c r="H21" s="5" t="s">
        <v>1457</v>
      </c>
    </row>
    <row r="22" spans="1:8" ht="27" x14ac:dyDescent="0.25">
      <c r="A22" s="5" t="str">
        <f>"20/07/2025"</f>
        <v>20/07/2025</v>
      </c>
      <c r="B22" s="5" t="s">
        <v>1102</v>
      </c>
      <c r="C22" s="5">
        <v>0</v>
      </c>
      <c r="D22" s="5">
        <v>1</v>
      </c>
      <c r="E22" s="5">
        <v>6</v>
      </c>
      <c r="F22" s="5">
        <v>71.94</v>
      </c>
      <c r="G22" s="5" t="s">
        <v>1435</v>
      </c>
      <c r="H22" s="5" t="s">
        <v>1458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6ED0D8-4F0E-49AB-8FB7-E65FA6787256}">
  <dimension ref="A1:K17"/>
  <sheetViews>
    <sheetView workbookViewId="0">
      <selection activeCell="I13" sqref="I13"/>
    </sheetView>
  </sheetViews>
  <sheetFormatPr baseColWidth="10" defaultRowHeight="15" x14ac:dyDescent="0.25"/>
  <cols>
    <col min="1" max="1" width="11.5703125" customWidth="1"/>
    <col min="2" max="2" width="22.42578125" customWidth="1"/>
    <col min="3" max="3" width="9" customWidth="1"/>
    <col min="4" max="4" width="7.42578125" customWidth="1"/>
    <col min="5" max="5" width="6.85546875" customWidth="1"/>
    <col min="6" max="6" width="20.85546875" customWidth="1"/>
    <col min="7" max="7" width="28.7109375" customWidth="1"/>
    <col min="8" max="8" width="23" customWidth="1"/>
    <col min="9" max="9" width="17.7109375" customWidth="1"/>
    <col min="10" max="10" width="18.42578125" customWidth="1"/>
    <col min="11" max="11" width="25.140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39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"3474637230210"</f>
        <v>3474637230210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"3474637230210"</f>
        <v>3474637230210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15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6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"25/06/2025"</f>
        <v>25/06/2025</v>
      </c>
      <c r="B10" s="5" t="s">
        <v>1108</v>
      </c>
      <c r="C10" s="5">
        <v>0</v>
      </c>
      <c r="D10" s="5">
        <v>1</v>
      </c>
      <c r="E10" s="5">
        <v>14</v>
      </c>
      <c r="F10" s="5">
        <v>25.19</v>
      </c>
      <c r="G10" s="5" t="s">
        <v>1462</v>
      </c>
      <c r="H10" s="5" t="s">
        <v>1220</v>
      </c>
    </row>
    <row r="11" spans="1:11" ht="27" x14ac:dyDescent="0.25">
      <c r="A11" s="5" t="str">
        <f>"01/07/2025"</f>
        <v>01/07/2025</v>
      </c>
      <c r="B11" s="5" t="s">
        <v>1102</v>
      </c>
      <c r="C11" s="5">
        <v>0</v>
      </c>
      <c r="D11" s="5">
        <v>1</v>
      </c>
      <c r="E11" s="5">
        <v>13</v>
      </c>
      <c r="F11" s="5">
        <v>25.19</v>
      </c>
      <c r="G11" s="5" t="s">
        <v>1462</v>
      </c>
      <c r="H11" s="5" t="s">
        <v>1463</v>
      </c>
    </row>
    <row r="12" spans="1:11" ht="27" x14ac:dyDescent="0.25">
      <c r="A12" s="5" t="str">
        <f>"06/07/2025"</f>
        <v>06/07/2025</v>
      </c>
      <c r="B12" s="5" t="s">
        <v>1102</v>
      </c>
      <c r="C12" s="5">
        <v>0</v>
      </c>
      <c r="D12" s="5">
        <v>1</v>
      </c>
      <c r="E12" s="5">
        <v>12</v>
      </c>
      <c r="F12" s="5">
        <v>25.19</v>
      </c>
      <c r="G12" s="5" t="s">
        <v>1462</v>
      </c>
      <c r="H12" s="5" t="s">
        <v>1464</v>
      </c>
    </row>
    <row r="13" spans="1:11" ht="27" x14ac:dyDescent="0.25">
      <c r="A13" s="5" t="str">
        <f>"09/07/2025"</f>
        <v>09/07/2025</v>
      </c>
      <c r="B13" s="5" t="s">
        <v>1108</v>
      </c>
      <c r="C13" s="5">
        <v>0</v>
      </c>
      <c r="D13" s="5">
        <v>1</v>
      </c>
      <c r="E13" s="5">
        <v>11</v>
      </c>
      <c r="F13" s="5">
        <v>25.19</v>
      </c>
      <c r="G13" s="5" t="s">
        <v>1462</v>
      </c>
      <c r="H13" s="5" t="s">
        <v>1465</v>
      </c>
    </row>
    <row r="14" spans="1:11" ht="27" x14ac:dyDescent="0.25">
      <c r="A14" s="5" t="str">
        <f>"17/07/2025"</f>
        <v>17/07/2025</v>
      </c>
      <c r="B14" s="5" t="s">
        <v>1129</v>
      </c>
      <c r="C14" s="5">
        <v>0</v>
      </c>
      <c r="D14" s="5">
        <v>1</v>
      </c>
      <c r="E14" s="5">
        <v>10</v>
      </c>
      <c r="F14" s="5">
        <v>25.19</v>
      </c>
      <c r="G14" s="5" t="s">
        <v>1462</v>
      </c>
      <c r="H14" s="5" t="s">
        <v>1466</v>
      </c>
    </row>
    <row r="15" spans="1:11" ht="27" x14ac:dyDescent="0.25">
      <c r="A15" s="5" t="str">
        <f>"17/07/2025"</f>
        <v>17/07/2025</v>
      </c>
      <c r="B15" s="5" t="s">
        <v>1102</v>
      </c>
      <c r="C15" s="5">
        <v>0</v>
      </c>
      <c r="D15" s="5">
        <v>1</v>
      </c>
      <c r="E15" s="5">
        <v>9</v>
      </c>
      <c r="F15" s="5">
        <v>25.19</v>
      </c>
      <c r="G15" s="5" t="s">
        <v>1462</v>
      </c>
      <c r="H15" s="5" t="s">
        <v>1467</v>
      </c>
    </row>
    <row r="16" spans="1:11" ht="27" x14ac:dyDescent="0.25">
      <c r="A16" s="5" t="str">
        <f>"18/07/2025"</f>
        <v>18/07/2025</v>
      </c>
      <c r="B16" s="5" t="s">
        <v>1102</v>
      </c>
      <c r="C16" s="5">
        <v>0</v>
      </c>
      <c r="D16" s="5">
        <v>1</v>
      </c>
      <c r="E16" s="5">
        <v>8</v>
      </c>
      <c r="F16" s="5">
        <v>25.19</v>
      </c>
      <c r="G16" s="5" t="s">
        <v>1462</v>
      </c>
      <c r="H16" s="5" t="s">
        <v>1468</v>
      </c>
    </row>
    <row r="17" spans="1:8" ht="27" x14ac:dyDescent="0.25">
      <c r="A17" s="5" t="str">
        <f>"20/07/2025"</f>
        <v>20/07/2025</v>
      </c>
      <c r="B17" s="5" t="s">
        <v>1102</v>
      </c>
      <c r="C17" s="5">
        <v>0</v>
      </c>
      <c r="D17" s="5">
        <v>2</v>
      </c>
      <c r="E17" s="5">
        <v>6</v>
      </c>
      <c r="F17" s="5">
        <v>25.19</v>
      </c>
      <c r="G17" s="5" t="s">
        <v>1462</v>
      </c>
      <c r="H17" s="5" t="s">
        <v>1469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CB3AE-F1B6-4E0C-A482-24BF6F49A812}">
  <dimension ref="A1:K32"/>
  <sheetViews>
    <sheetView workbookViewId="0">
      <selection activeCell="I12" sqref="I12"/>
    </sheetView>
  </sheetViews>
  <sheetFormatPr baseColWidth="10" defaultRowHeight="15" x14ac:dyDescent="0.25"/>
  <cols>
    <col min="1" max="1" width="14.28515625" customWidth="1"/>
    <col min="2" max="2" width="34.85546875" customWidth="1"/>
    <col min="3" max="3" width="8.42578125" customWidth="1"/>
    <col min="4" max="4" width="7" customWidth="1"/>
    <col min="5" max="5" width="6.42578125" customWidth="1"/>
    <col min="6" max="6" width="19.42578125" customWidth="1"/>
    <col min="7" max="7" width="23" customWidth="1"/>
    <col min="8" max="8" width="21.28515625" customWidth="1"/>
    <col min="9" max="9" width="16.42578125" customWidth="1"/>
    <col min="10" max="10" width="17.140625" customWidth="1"/>
    <col min="11" max="11" width="23.140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77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"4064666322575"</f>
        <v>4064666322575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"4064666322575"</f>
        <v>4064666322575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27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32</v>
      </c>
      <c r="D10" s="5">
        <v>0</v>
      </c>
      <c r="E10" s="5">
        <v>32</v>
      </c>
      <c r="F10" s="5">
        <v>85.63</v>
      </c>
      <c r="G10" s="5" t="s">
        <v>1304</v>
      </c>
      <c r="H10" s="6"/>
    </row>
    <row r="11" spans="1:11" ht="27" x14ac:dyDescent="0.25">
      <c r="A11" s="5" t="str">
        <f>"03/07/2025"</f>
        <v>03/07/2025</v>
      </c>
      <c r="B11" s="5" t="s">
        <v>1102</v>
      </c>
      <c r="C11" s="5">
        <v>0</v>
      </c>
      <c r="D11" s="5">
        <v>1</v>
      </c>
      <c r="E11" s="5">
        <v>31</v>
      </c>
      <c r="F11" s="5">
        <v>85.63</v>
      </c>
      <c r="G11" s="5" t="s">
        <v>1304</v>
      </c>
      <c r="H11" s="5" t="s">
        <v>1246</v>
      </c>
    </row>
    <row r="12" spans="1:11" ht="27" x14ac:dyDescent="0.25">
      <c r="A12" s="5" t="str">
        <f>"03/07/2025"</f>
        <v>03/07/2025</v>
      </c>
      <c r="B12" s="5" t="s">
        <v>1114</v>
      </c>
      <c r="C12" s="5">
        <v>0</v>
      </c>
      <c r="D12" s="5">
        <v>1</v>
      </c>
      <c r="E12" s="5">
        <v>30</v>
      </c>
      <c r="F12" s="5">
        <v>85.63</v>
      </c>
      <c r="G12" s="5" t="s">
        <v>1304</v>
      </c>
      <c r="H12" s="5" t="s">
        <v>1305</v>
      </c>
    </row>
    <row r="13" spans="1:11" ht="27" x14ac:dyDescent="0.25">
      <c r="A13" s="5" t="str">
        <f>"07/07/2025"</f>
        <v>07/07/2025</v>
      </c>
      <c r="B13" s="5" t="s">
        <v>1105</v>
      </c>
      <c r="C13" s="5">
        <v>0</v>
      </c>
      <c r="D13" s="5">
        <v>1</v>
      </c>
      <c r="E13" s="5">
        <v>29</v>
      </c>
      <c r="F13" s="5">
        <v>85.63</v>
      </c>
      <c r="G13" s="5" t="s">
        <v>1304</v>
      </c>
      <c r="H13" s="5" t="s">
        <v>1470</v>
      </c>
    </row>
    <row r="14" spans="1:11" ht="27" x14ac:dyDescent="0.25">
      <c r="A14" s="5" t="str">
        <f>"08/07/2025"</f>
        <v>08/07/2025</v>
      </c>
      <c r="B14" s="5" t="s">
        <v>1114</v>
      </c>
      <c r="C14" s="5">
        <v>0</v>
      </c>
      <c r="D14" s="5">
        <v>1</v>
      </c>
      <c r="E14" s="5">
        <v>28</v>
      </c>
      <c r="F14" s="5">
        <v>85.63</v>
      </c>
      <c r="G14" s="5" t="s">
        <v>1304</v>
      </c>
      <c r="H14" s="5" t="s">
        <v>1312</v>
      </c>
    </row>
    <row r="15" spans="1:11" ht="27" x14ac:dyDescent="0.25">
      <c r="A15" s="5" t="str">
        <f>"09/07/2025"</f>
        <v>09/07/2025</v>
      </c>
      <c r="B15" s="5" t="s">
        <v>1129</v>
      </c>
      <c r="C15" s="5">
        <v>0</v>
      </c>
      <c r="D15" s="5">
        <v>1</v>
      </c>
      <c r="E15" s="5">
        <v>27</v>
      </c>
      <c r="F15" s="5">
        <v>85.63</v>
      </c>
      <c r="G15" s="5" t="s">
        <v>1304</v>
      </c>
      <c r="H15" s="5" t="s">
        <v>1313</v>
      </c>
    </row>
    <row r="16" spans="1:11" ht="27" x14ac:dyDescent="0.25">
      <c r="A16" s="5" t="str">
        <f>"09/07/2025"</f>
        <v>09/07/2025</v>
      </c>
      <c r="B16" s="5" t="s">
        <v>1105</v>
      </c>
      <c r="C16" s="5">
        <v>0</v>
      </c>
      <c r="D16" s="5">
        <v>1</v>
      </c>
      <c r="E16" s="5">
        <v>26</v>
      </c>
      <c r="F16" s="5">
        <v>85.63</v>
      </c>
      <c r="G16" s="5" t="s">
        <v>1304</v>
      </c>
      <c r="H16" s="5" t="s">
        <v>1314</v>
      </c>
    </row>
    <row r="17" spans="1:8" ht="27" x14ac:dyDescent="0.25">
      <c r="A17" s="5" t="str">
        <f>"09/07/2025"</f>
        <v>09/07/2025</v>
      </c>
      <c r="B17" s="5" t="s">
        <v>1105</v>
      </c>
      <c r="C17" s="5">
        <v>0</v>
      </c>
      <c r="D17" s="5">
        <v>1</v>
      </c>
      <c r="E17" s="5">
        <v>25</v>
      </c>
      <c r="F17" s="5">
        <v>85.63</v>
      </c>
      <c r="G17" s="5" t="s">
        <v>1304</v>
      </c>
      <c r="H17" s="5" t="s">
        <v>1314</v>
      </c>
    </row>
    <row r="18" spans="1:8" ht="27" x14ac:dyDescent="0.25">
      <c r="A18" s="5" t="str">
        <f>"10/07/2025"</f>
        <v>10/07/2025</v>
      </c>
      <c r="B18" s="5" t="s">
        <v>1114</v>
      </c>
      <c r="C18" s="5">
        <v>0</v>
      </c>
      <c r="D18" s="5">
        <v>1</v>
      </c>
      <c r="E18" s="5">
        <v>24</v>
      </c>
      <c r="F18" s="5">
        <v>85.63</v>
      </c>
      <c r="G18" s="5" t="s">
        <v>1304</v>
      </c>
      <c r="H18" s="5" t="s">
        <v>1471</v>
      </c>
    </row>
    <row r="19" spans="1:8" ht="27" x14ac:dyDescent="0.25">
      <c r="A19" s="5" t="str">
        <f>"10/07/2025"</f>
        <v>10/07/2025</v>
      </c>
      <c r="B19" s="5" t="s">
        <v>1129</v>
      </c>
      <c r="C19" s="5">
        <v>0</v>
      </c>
      <c r="D19" s="5">
        <v>1</v>
      </c>
      <c r="E19" s="5">
        <v>23</v>
      </c>
      <c r="F19" s="5">
        <v>85.63</v>
      </c>
      <c r="G19" s="5" t="s">
        <v>1304</v>
      </c>
      <c r="H19" s="5" t="s">
        <v>1472</v>
      </c>
    </row>
    <row r="20" spans="1:8" ht="27" x14ac:dyDescent="0.25">
      <c r="A20" s="5" t="str">
        <f>"10/07/2025"</f>
        <v>10/07/2025</v>
      </c>
      <c r="B20" s="5" t="s">
        <v>1129</v>
      </c>
      <c r="C20" s="5">
        <v>0</v>
      </c>
      <c r="D20" s="5">
        <v>1</v>
      </c>
      <c r="E20" s="5">
        <v>22</v>
      </c>
      <c r="F20" s="5">
        <v>85.63</v>
      </c>
      <c r="G20" s="5" t="s">
        <v>1304</v>
      </c>
      <c r="H20" s="5" t="s">
        <v>1319</v>
      </c>
    </row>
    <row r="21" spans="1:8" ht="27" x14ac:dyDescent="0.25">
      <c r="A21" s="5" t="str">
        <f t="shared" ref="A21:A26" si="0">"14/07/2025"</f>
        <v>14/07/2025</v>
      </c>
      <c r="B21" s="5" t="s">
        <v>1105</v>
      </c>
      <c r="C21" s="5">
        <v>0</v>
      </c>
      <c r="D21" s="5">
        <v>1</v>
      </c>
      <c r="E21" s="5">
        <v>21</v>
      </c>
      <c r="F21" s="5">
        <v>85.63</v>
      </c>
      <c r="G21" s="5" t="s">
        <v>1304</v>
      </c>
      <c r="H21" s="5" t="s">
        <v>1473</v>
      </c>
    </row>
    <row r="22" spans="1:8" ht="27" x14ac:dyDescent="0.25">
      <c r="A22" s="5" t="str">
        <f t="shared" si="0"/>
        <v>14/07/2025</v>
      </c>
      <c r="B22" s="5" t="s">
        <v>1105</v>
      </c>
      <c r="C22" s="5">
        <v>0</v>
      </c>
      <c r="D22" s="5">
        <v>1</v>
      </c>
      <c r="E22" s="5">
        <v>20</v>
      </c>
      <c r="F22" s="5">
        <v>85.63</v>
      </c>
      <c r="G22" s="5" t="s">
        <v>1304</v>
      </c>
      <c r="H22" s="5" t="s">
        <v>1324</v>
      </c>
    </row>
    <row r="23" spans="1:8" ht="27" x14ac:dyDescent="0.25">
      <c r="A23" s="5" t="str">
        <f t="shared" si="0"/>
        <v>14/07/2025</v>
      </c>
      <c r="B23" s="5" t="s">
        <v>1105</v>
      </c>
      <c r="C23" s="5">
        <v>0</v>
      </c>
      <c r="D23" s="5">
        <v>1</v>
      </c>
      <c r="E23" s="5">
        <v>19</v>
      </c>
      <c r="F23" s="5">
        <v>85.63</v>
      </c>
      <c r="G23" s="5" t="s">
        <v>1304</v>
      </c>
      <c r="H23" s="5" t="s">
        <v>1325</v>
      </c>
    </row>
    <row r="24" spans="1:8" ht="27" x14ac:dyDescent="0.25">
      <c r="A24" s="5" t="str">
        <f t="shared" si="0"/>
        <v>14/07/2025</v>
      </c>
      <c r="B24" s="5" t="s">
        <v>1105</v>
      </c>
      <c r="C24" s="5">
        <v>0</v>
      </c>
      <c r="D24" s="5">
        <v>1</v>
      </c>
      <c r="E24" s="5">
        <v>18</v>
      </c>
      <c r="F24" s="5">
        <v>85.63</v>
      </c>
      <c r="G24" s="5" t="s">
        <v>1304</v>
      </c>
      <c r="H24" s="5" t="s">
        <v>1474</v>
      </c>
    </row>
    <row r="25" spans="1:8" ht="27" x14ac:dyDescent="0.25">
      <c r="A25" s="5" t="str">
        <f t="shared" si="0"/>
        <v>14/07/2025</v>
      </c>
      <c r="B25" s="5" t="s">
        <v>1178</v>
      </c>
      <c r="C25" s="5">
        <v>0</v>
      </c>
      <c r="D25" s="5">
        <v>1</v>
      </c>
      <c r="E25" s="5">
        <v>17</v>
      </c>
      <c r="F25" s="5">
        <v>85.63</v>
      </c>
      <c r="G25" s="5" t="s">
        <v>1304</v>
      </c>
      <c r="H25" s="5" t="s">
        <v>1475</v>
      </c>
    </row>
    <row r="26" spans="1:8" ht="27" x14ac:dyDescent="0.25">
      <c r="A26" s="5" t="str">
        <f t="shared" si="0"/>
        <v>14/07/2025</v>
      </c>
      <c r="B26" s="5" t="s">
        <v>1114</v>
      </c>
      <c r="C26" s="5">
        <v>0</v>
      </c>
      <c r="D26" s="5">
        <v>1</v>
      </c>
      <c r="E26" s="5">
        <v>16</v>
      </c>
      <c r="F26" s="5">
        <v>85.63</v>
      </c>
      <c r="G26" s="5" t="s">
        <v>1304</v>
      </c>
      <c r="H26" s="5" t="s">
        <v>1259</v>
      </c>
    </row>
    <row r="27" spans="1:8" ht="27" x14ac:dyDescent="0.25">
      <c r="A27" s="5" t="str">
        <f>"15/07/2025"</f>
        <v>15/07/2025</v>
      </c>
      <c r="B27" s="5" t="s">
        <v>1114</v>
      </c>
      <c r="C27" s="5">
        <v>0</v>
      </c>
      <c r="D27" s="5">
        <v>1</v>
      </c>
      <c r="E27" s="5">
        <v>15</v>
      </c>
      <c r="F27" s="5">
        <v>85.63</v>
      </c>
      <c r="G27" s="5" t="s">
        <v>1304</v>
      </c>
      <c r="H27" s="5" t="s">
        <v>1327</v>
      </c>
    </row>
    <row r="28" spans="1:8" ht="27" x14ac:dyDescent="0.25">
      <c r="A28" s="5" t="str">
        <f>"15/07/2025"</f>
        <v>15/07/2025</v>
      </c>
      <c r="B28" s="5" t="s">
        <v>1129</v>
      </c>
      <c r="C28" s="5">
        <v>0</v>
      </c>
      <c r="D28" s="5">
        <v>1</v>
      </c>
      <c r="E28" s="5">
        <v>14</v>
      </c>
      <c r="F28" s="5">
        <v>85.63</v>
      </c>
      <c r="G28" s="5" t="s">
        <v>1304</v>
      </c>
      <c r="H28" s="5" t="s">
        <v>1476</v>
      </c>
    </row>
    <row r="29" spans="1:8" ht="27" x14ac:dyDescent="0.25">
      <c r="A29" s="5" t="str">
        <f>"15/07/2025"</f>
        <v>15/07/2025</v>
      </c>
      <c r="B29" s="5" t="s">
        <v>1114</v>
      </c>
      <c r="C29" s="5">
        <v>0</v>
      </c>
      <c r="D29" s="5">
        <v>1</v>
      </c>
      <c r="E29" s="5">
        <v>13</v>
      </c>
      <c r="F29" s="5">
        <v>85.63</v>
      </c>
      <c r="G29" s="5" t="s">
        <v>1304</v>
      </c>
      <c r="H29" s="5" t="s">
        <v>1260</v>
      </c>
    </row>
    <row r="30" spans="1:8" ht="27" x14ac:dyDescent="0.25">
      <c r="A30" s="5" t="str">
        <f>"16/07/2025"</f>
        <v>16/07/2025</v>
      </c>
      <c r="B30" s="5" t="s">
        <v>1114</v>
      </c>
      <c r="C30" s="5">
        <v>0</v>
      </c>
      <c r="D30" s="5">
        <v>1</v>
      </c>
      <c r="E30" s="5">
        <v>12</v>
      </c>
      <c r="F30" s="5">
        <v>85.63</v>
      </c>
      <c r="G30" s="5" t="s">
        <v>1304</v>
      </c>
      <c r="H30" s="5" t="s">
        <v>1331</v>
      </c>
    </row>
    <row r="31" spans="1:8" ht="27" x14ac:dyDescent="0.25">
      <c r="A31" s="5" t="str">
        <f>"18/07/2025"</f>
        <v>18/07/2025</v>
      </c>
      <c r="B31" s="5" t="s">
        <v>1114</v>
      </c>
      <c r="C31" s="5">
        <v>16</v>
      </c>
      <c r="D31" s="5">
        <v>0</v>
      </c>
      <c r="E31" s="5">
        <v>28</v>
      </c>
      <c r="F31" s="5">
        <v>85.63</v>
      </c>
      <c r="G31" s="5" t="s">
        <v>1287</v>
      </c>
      <c r="H31" s="6"/>
    </row>
    <row r="32" spans="1:8" ht="27" x14ac:dyDescent="0.25">
      <c r="A32" s="5" t="str">
        <f>"20/07/2025"</f>
        <v>20/07/2025</v>
      </c>
      <c r="B32" s="5" t="s">
        <v>1102</v>
      </c>
      <c r="C32" s="5">
        <v>0</v>
      </c>
      <c r="D32" s="5">
        <v>1</v>
      </c>
      <c r="E32" s="5">
        <v>27</v>
      </c>
      <c r="F32" s="5">
        <v>85.63</v>
      </c>
      <c r="G32" s="5" t="s">
        <v>1304</v>
      </c>
      <c r="H32" s="5" t="s">
        <v>1335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3E43F-D1D7-4809-B094-55D75486488C}">
  <dimension ref="A1:K22"/>
  <sheetViews>
    <sheetView workbookViewId="0">
      <selection activeCell="C6" sqref="C6:I6"/>
    </sheetView>
  </sheetViews>
  <sheetFormatPr baseColWidth="10" defaultRowHeight="15" x14ac:dyDescent="0.25"/>
  <cols>
    <col min="1" max="1" width="12.7109375" customWidth="1"/>
    <col min="2" max="2" width="20.5703125" customWidth="1"/>
    <col min="3" max="3" width="9" customWidth="1"/>
    <col min="4" max="4" width="7.5703125" customWidth="1"/>
    <col min="5" max="5" width="7" customWidth="1"/>
    <col min="6" max="6" width="21" customWidth="1"/>
    <col min="7" max="7" width="28.7109375" customWidth="1"/>
    <col min="8" max="8" width="23" customWidth="1"/>
    <col min="9" max="9" width="17.7109375" customWidth="1"/>
    <col min="10" max="10" width="18.5703125" customWidth="1"/>
    <col min="11" max="11" width="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43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"8022297057033"</f>
        <v>8022297057033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"8022297057033"</f>
        <v>8022297057033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9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7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"21/06/2025"</f>
        <v>21/06/2025</v>
      </c>
      <c r="B10" s="5" t="s">
        <v>1102</v>
      </c>
      <c r="C10" s="5">
        <v>0</v>
      </c>
      <c r="D10" s="5">
        <v>1</v>
      </c>
      <c r="E10" s="5">
        <v>8</v>
      </c>
      <c r="F10" s="5">
        <v>12.81</v>
      </c>
      <c r="G10" s="5" t="s">
        <v>1273</v>
      </c>
      <c r="H10" s="5" t="s">
        <v>1477</v>
      </c>
    </row>
    <row r="11" spans="1:11" ht="27" x14ac:dyDescent="0.25">
      <c r="A11" s="5" t="str">
        <f>"26/06/2025"</f>
        <v>26/06/2025</v>
      </c>
      <c r="B11" s="5" t="s">
        <v>1114</v>
      </c>
      <c r="C11" s="5">
        <v>3</v>
      </c>
      <c r="D11" s="5">
        <v>0</v>
      </c>
      <c r="E11" s="5">
        <v>11</v>
      </c>
      <c r="F11" s="5">
        <v>13.88</v>
      </c>
      <c r="G11" s="5" t="s">
        <v>1292</v>
      </c>
      <c r="H11" s="6"/>
    </row>
    <row r="12" spans="1:11" ht="27" x14ac:dyDescent="0.25">
      <c r="A12" s="5" t="str">
        <f>"26/06/2025"</f>
        <v>26/06/2025</v>
      </c>
      <c r="B12" s="5" t="s">
        <v>1114</v>
      </c>
      <c r="C12" s="5">
        <v>0</v>
      </c>
      <c r="D12" s="5">
        <v>3</v>
      </c>
      <c r="E12" s="5">
        <v>8</v>
      </c>
      <c r="F12" s="5">
        <v>13.88</v>
      </c>
      <c r="G12" s="5" t="s">
        <v>1292</v>
      </c>
      <c r="H12" s="5" t="s">
        <v>1293</v>
      </c>
    </row>
    <row r="13" spans="1:11" ht="27" x14ac:dyDescent="0.25">
      <c r="A13" s="5" t="str">
        <f>"26/06/2025"</f>
        <v>26/06/2025</v>
      </c>
      <c r="B13" s="5" t="s">
        <v>1114</v>
      </c>
      <c r="C13" s="5">
        <v>3</v>
      </c>
      <c r="D13" s="5">
        <v>0</v>
      </c>
      <c r="E13" s="5">
        <v>11</v>
      </c>
      <c r="F13" s="5">
        <v>13.88</v>
      </c>
      <c r="G13" s="5" t="s">
        <v>1292</v>
      </c>
      <c r="H13" s="6"/>
    </row>
    <row r="14" spans="1:11" ht="27" x14ac:dyDescent="0.25">
      <c r="A14" s="5" t="str">
        <f>"30/06/2025"</f>
        <v>30/06/2025</v>
      </c>
      <c r="B14" s="5" t="s">
        <v>1114</v>
      </c>
      <c r="C14" s="5">
        <v>0</v>
      </c>
      <c r="D14" s="5">
        <v>1</v>
      </c>
      <c r="E14" s="5">
        <v>10</v>
      </c>
      <c r="F14" s="5">
        <v>12.81</v>
      </c>
      <c r="G14" s="5" t="s">
        <v>1273</v>
      </c>
      <c r="H14" s="5" t="s">
        <v>1478</v>
      </c>
    </row>
    <row r="15" spans="1:11" ht="27" x14ac:dyDescent="0.25">
      <c r="A15" s="5" t="str">
        <f>"01/07/2025"</f>
        <v>01/07/2025</v>
      </c>
      <c r="B15" s="5" t="s">
        <v>1102</v>
      </c>
      <c r="C15" s="5">
        <v>0</v>
      </c>
      <c r="D15" s="5">
        <v>3</v>
      </c>
      <c r="E15" s="5">
        <v>7</v>
      </c>
      <c r="F15" s="5">
        <v>13.88</v>
      </c>
      <c r="G15" s="5" t="s">
        <v>1292</v>
      </c>
      <c r="H15" s="5" t="s">
        <v>1294</v>
      </c>
    </row>
    <row r="16" spans="1:11" ht="27" x14ac:dyDescent="0.25">
      <c r="A16" s="5" t="str">
        <f>"04/07/2025"</f>
        <v>04/07/2025</v>
      </c>
      <c r="B16" s="5" t="s">
        <v>1114</v>
      </c>
      <c r="C16" s="5">
        <v>0</v>
      </c>
      <c r="D16" s="5">
        <v>2</v>
      </c>
      <c r="E16" s="5">
        <v>5</v>
      </c>
      <c r="F16" s="5">
        <v>12.81</v>
      </c>
      <c r="G16" s="5" t="s">
        <v>1273</v>
      </c>
      <c r="H16" s="5" t="s">
        <v>1447</v>
      </c>
    </row>
    <row r="17" spans="1:8" ht="27" x14ac:dyDescent="0.25">
      <c r="A17" s="5" t="str">
        <f>"08/07/2025"</f>
        <v>08/07/2025</v>
      </c>
      <c r="B17" s="5" t="s">
        <v>1102</v>
      </c>
      <c r="C17" s="5">
        <v>0</v>
      </c>
      <c r="D17" s="5">
        <v>1</v>
      </c>
      <c r="E17" s="5">
        <v>4</v>
      </c>
      <c r="F17" s="5">
        <v>12.81</v>
      </c>
      <c r="G17" s="5" t="s">
        <v>1273</v>
      </c>
      <c r="H17" s="5" t="s">
        <v>1479</v>
      </c>
    </row>
    <row r="18" spans="1:8" ht="27" x14ac:dyDescent="0.25">
      <c r="A18" s="5" t="str">
        <f>"09/07/2025"</f>
        <v>09/07/2025</v>
      </c>
      <c r="B18" s="5" t="s">
        <v>1114</v>
      </c>
      <c r="C18" s="5">
        <v>0</v>
      </c>
      <c r="D18" s="5">
        <v>1</v>
      </c>
      <c r="E18" s="5">
        <v>3</v>
      </c>
      <c r="F18" s="5">
        <v>12.81</v>
      </c>
      <c r="G18" s="5" t="s">
        <v>1273</v>
      </c>
      <c r="H18" s="5" t="s">
        <v>1299</v>
      </c>
    </row>
    <row r="19" spans="1:8" ht="27" x14ac:dyDescent="0.25">
      <c r="A19" s="5" t="str">
        <f>"09/07/2025"</f>
        <v>09/07/2025</v>
      </c>
      <c r="B19" s="5" t="s">
        <v>1114</v>
      </c>
      <c r="C19" s="5">
        <v>2</v>
      </c>
      <c r="D19" s="5">
        <v>0</v>
      </c>
      <c r="E19" s="5">
        <v>5</v>
      </c>
      <c r="F19" s="5">
        <v>13.88</v>
      </c>
      <c r="G19" s="5" t="s">
        <v>1300</v>
      </c>
      <c r="H19" s="6"/>
    </row>
    <row r="20" spans="1:8" ht="27" x14ac:dyDescent="0.25">
      <c r="A20" s="5" t="str">
        <f>"16/07/2025"</f>
        <v>16/07/2025</v>
      </c>
      <c r="B20" s="5" t="s">
        <v>1114</v>
      </c>
      <c r="C20" s="5">
        <v>4</v>
      </c>
      <c r="D20" s="5">
        <v>0</v>
      </c>
      <c r="E20" s="5">
        <v>9</v>
      </c>
      <c r="F20" s="5">
        <v>13.88</v>
      </c>
      <c r="G20" s="5" t="s">
        <v>1435</v>
      </c>
      <c r="H20" s="6"/>
    </row>
    <row r="21" spans="1:8" ht="27" x14ac:dyDescent="0.25">
      <c r="A21" s="5" t="str">
        <f>"21/07/2025"</f>
        <v>21/07/2025</v>
      </c>
      <c r="B21" s="5" t="s">
        <v>1178</v>
      </c>
      <c r="C21" s="5">
        <v>0</v>
      </c>
      <c r="D21" s="5">
        <v>1</v>
      </c>
      <c r="E21" s="5">
        <v>8</v>
      </c>
      <c r="F21" s="5">
        <v>12.81</v>
      </c>
      <c r="G21" s="5" t="s">
        <v>1273</v>
      </c>
      <c r="H21" s="5" t="s">
        <v>1480</v>
      </c>
    </row>
    <row r="22" spans="1:8" ht="27" x14ac:dyDescent="0.25">
      <c r="A22" s="5" t="str">
        <f>"21/07/2025"</f>
        <v>21/07/2025</v>
      </c>
      <c r="B22" s="5" t="s">
        <v>1178</v>
      </c>
      <c r="C22" s="5">
        <v>0</v>
      </c>
      <c r="D22" s="5">
        <v>1</v>
      </c>
      <c r="E22" s="5">
        <v>7</v>
      </c>
      <c r="F22" s="5">
        <v>12.81</v>
      </c>
      <c r="G22" s="5" t="s">
        <v>1273</v>
      </c>
      <c r="H22" s="5" t="s">
        <v>1480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DC84-E42A-413D-8BE3-76D86838E673}">
  <dimension ref="A1:K20"/>
  <sheetViews>
    <sheetView workbookViewId="0">
      <selection activeCell="B9" sqref="B1:B1048576"/>
    </sheetView>
  </sheetViews>
  <sheetFormatPr baseColWidth="10" defaultRowHeight="15" x14ac:dyDescent="0.25"/>
  <cols>
    <col min="1" max="1" width="12" customWidth="1"/>
    <col min="2" max="2" width="17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45.7109375" bestFit="1" customWidth="1"/>
    <col min="8" max="8" width="30.28515625" bestFit="1" customWidth="1"/>
    <col min="9" max="9" width="13.425781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45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"3474637222642"</f>
        <v>3474637222642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"3474637222642"</f>
        <v>3474637222642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21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13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"21/06/2025"</f>
        <v>21/06/2025</v>
      </c>
      <c r="B10" s="5" t="s">
        <v>1102</v>
      </c>
      <c r="C10" s="5">
        <v>0</v>
      </c>
      <c r="D10" s="5">
        <v>2</v>
      </c>
      <c r="E10" s="5">
        <v>19</v>
      </c>
      <c r="F10" s="5">
        <v>19.68</v>
      </c>
      <c r="G10" s="5" t="s">
        <v>1481</v>
      </c>
      <c r="H10" s="5" t="s">
        <v>1212</v>
      </c>
    </row>
    <row r="11" spans="1:11" ht="27" x14ac:dyDescent="0.25">
      <c r="A11" s="5" t="str">
        <f>"23/06/2025"</f>
        <v>23/06/2025</v>
      </c>
      <c r="B11" s="5" t="s">
        <v>1102</v>
      </c>
      <c r="C11" s="5">
        <v>0</v>
      </c>
      <c r="D11" s="5">
        <v>1</v>
      </c>
      <c r="E11" s="5">
        <v>18</v>
      </c>
      <c r="F11" s="5">
        <v>19.68</v>
      </c>
      <c r="G11" s="5" t="s">
        <v>1481</v>
      </c>
      <c r="H11" s="5" t="s">
        <v>1482</v>
      </c>
    </row>
    <row r="12" spans="1:11" ht="27" x14ac:dyDescent="0.25">
      <c r="A12" s="5" t="str">
        <f>"24/06/2025"</f>
        <v>24/06/2025</v>
      </c>
      <c r="B12" s="5" t="s">
        <v>1102</v>
      </c>
      <c r="C12" s="5">
        <v>2</v>
      </c>
      <c r="D12" s="5">
        <v>0</v>
      </c>
      <c r="E12" s="5">
        <v>20</v>
      </c>
      <c r="F12" s="5">
        <v>19.68</v>
      </c>
      <c r="G12" s="5" t="s">
        <v>1217</v>
      </c>
      <c r="H12" s="6"/>
    </row>
    <row r="13" spans="1:11" ht="27" x14ac:dyDescent="0.25">
      <c r="A13" s="5" t="str">
        <f>"24/06/2025"</f>
        <v>24/06/2025</v>
      </c>
      <c r="B13" s="5" t="s">
        <v>1102</v>
      </c>
      <c r="C13" s="5">
        <v>0</v>
      </c>
      <c r="D13" s="5">
        <v>1</v>
      </c>
      <c r="E13" s="5">
        <v>19</v>
      </c>
      <c r="F13" s="5">
        <v>19.68</v>
      </c>
      <c r="G13" s="5" t="s">
        <v>1217</v>
      </c>
      <c r="H13" s="5" t="s">
        <v>1218</v>
      </c>
    </row>
    <row r="14" spans="1:11" ht="27" x14ac:dyDescent="0.25">
      <c r="A14" s="5" t="str">
        <f>"25/06/2025"</f>
        <v>25/06/2025</v>
      </c>
      <c r="B14" s="5" t="s">
        <v>1102</v>
      </c>
      <c r="C14" s="5">
        <v>1</v>
      </c>
      <c r="D14" s="5">
        <v>0</v>
      </c>
      <c r="E14" s="5">
        <v>20</v>
      </c>
      <c r="F14" s="5">
        <v>19.68</v>
      </c>
      <c r="G14" s="5" t="s">
        <v>1219</v>
      </c>
      <c r="H14" s="6"/>
    </row>
    <row r="15" spans="1:11" ht="27" x14ac:dyDescent="0.25">
      <c r="A15" s="5" t="str">
        <f>"26/06/2025"</f>
        <v>26/06/2025</v>
      </c>
      <c r="B15" s="5" t="s">
        <v>1108</v>
      </c>
      <c r="C15" s="5">
        <v>0</v>
      </c>
      <c r="D15" s="5">
        <v>1</v>
      </c>
      <c r="E15" s="5">
        <v>19</v>
      </c>
      <c r="F15" s="5">
        <v>19.68</v>
      </c>
      <c r="G15" s="5" t="s">
        <v>1217</v>
      </c>
      <c r="H15" s="5" t="s">
        <v>1222</v>
      </c>
    </row>
    <row r="16" spans="1:11" ht="27" x14ac:dyDescent="0.25">
      <c r="A16" s="5" t="str">
        <f>"27/06/2025"</f>
        <v>27/06/2025</v>
      </c>
      <c r="B16" s="5" t="s">
        <v>1108</v>
      </c>
      <c r="C16" s="5">
        <v>0</v>
      </c>
      <c r="D16" s="5">
        <v>2</v>
      </c>
      <c r="E16" s="5">
        <v>17</v>
      </c>
      <c r="F16" s="5">
        <v>19.68</v>
      </c>
      <c r="G16" s="5" t="s">
        <v>1483</v>
      </c>
      <c r="H16" s="5" t="s">
        <v>1223</v>
      </c>
    </row>
    <row r="17" spans="1:8" ht="27" x14ac:dyDescent="0.25">
      <c r="A17" s="5" t="str">
        <f>"30/06/2025"</f>
        <v>30/06/2025</v>
      </c>
      <c r="B17" s="5" t="s">
        <v>1108</v>
      </c>
      <c r="C17" s="5">
        <v>0</v>
      </c>
      <c r="D17" s="5">
        <v>1</v>
      </c>
      <c r="E17" s="5">
        <v>16</v>
      </c>
      <c r="F17" s="5">
        <v>19.68</v>
      </c>
      <c r="G17" s="5" t="s">
        <v>1481</v>
      </c>
      <c r="H17" s="5" t="s">
        <v>1484</v>
      </c>
    </row>
    <row r="18" spans="1:8" ht="27" x14ac:dyDescent="0.25">
      <c r="A18" s="5" t="str">
        <f>"05/07/2025"</f>
        <v>05/07/2025</v>
      </c>
      <c r="B18" s="5" t="s">
        <v>1102</v>
      </c>
      <c r="C18" s="5">
        <v>0</v>
      </c>
      <c r="D18" s="5">
        <v>1</v>
      </c>
      <c r="E18" s="5">
        <v>15</v>
      </c>
      <c r="F18" s="5">
        <v>19.68</v>
      </c>
      <c r="G18" s="5" t="s">
        <v>1481</v>
      </c>
      <c r="H18" s="5" t="s">
        <v>1485</v>
      </c>
    </row>
    <row r="19" spans="1:8" ht="27" x14ac:dyDescent="0.25">
      <c r="A19" s="5" t="str">
        <f>"07/07/2025"</f>
        <v>07/07/2025</v>
      </c>
      <c r="B19" s="5" t="s">
        <v>1114</v>
      </c>
      <c r="C19" s="5">
        <v>0</v>
      </c>
      <c r="D19" s="5">
        <v>1</v>
      </c>
      <c r="E19" s="5">
        <v>14</v>
      </c>
      <c r="F19" s="5">
        <v>19.190000000000001</v>
      </c>
      <c r="G19" s="5" t="s">
        <v>1486</v>
      </c>
      <c r="H19" s="5" t="s">
        <v>1232</v>
      </c>
    </row>
    <row r="20" spans="1:8" ht="27" x14ac:dyDescent="0.25">
      <c r="A20" s="5" t="str">
        <f>"09/07/2025"</f>
        <v>09/07/2025</v>
      </c>
      <c r="B20" s="5" t="s">
        <v>1108</v>
      </c>
      <c r="C20" s="5">
        <v>0</v>
      </c>
      <c r="D20" s="5">
        <v>1</v>
      </c>
      <c r="E20" s="5">
        <v>13</v>
      </c>
      <c r="F20" s="5">
        <v>19.190000000000001</v>
      </c>
      <c r="G20" s="5" t="s">
        <v>1486</v>
      </c>
      <c r="H20" s="5" t="s">
        <v>1234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E8E0D-7A9A-4B7F-A16B-13F89359AD21}">
  <dimension ref="A1:K16"/>
  <sheetViews>
    <sheetView workbookViewId="0">
      <selection activeCell="C5" sqref="C5:I5"/>
    </sheetView>
  </sheetViews>
  <sheetFormatPr baseColWidth="10" defaultRowHeight="15" x14ac:dyDescent="0.25"/>
  <cols>
    <col min="1" max="1" width="11.85546875" customWidth="1"/>
    <col min="2" max="2" width="20.5703125" customWidth="1"/>
    <col min="3" max="3" width="9" customWidth="1"/>
    <col min="4" max="4" width="7.5703125" customWidth="1"/>
    <col min="5" max="5" width="7" customWidth="1"/>
    <col min="6" max="6" width="21" customWidth="1"/>
    <col min="7" max="7" width="28.7109375" customWidth="1"/>
    <col min="8" max="8" width="23" customWidth="1"/>
    <col min="9" max="9" width="17.7109375" customWidth="1"/>
    <col min="10" max="10" width="18.5703125" customWidth="1"/>
    <col min="11" max="11" width="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47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"884486003560"</f>
        <v>884486003560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"884486003560"</f>
        <v>884486003560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11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3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"23/06/2025"</f>
        <v>23/06/2025</v>
      </c>
      <c r="B10" s="5" t="s">
        <v>1102</v>
      </c>
      <c r="C10" s="5">
        <v>0</v>
      </c>
      <c r="D10" s="5">
        <v>1</v>
      </c>
      <c r="E10" s="5">
        <v>10</v>
      </c>
      <c r="F10" s="5">
        <v>16.72</v>
      </c>
      <c r="G10" s="5" t="s">
        <v>1209</v>
      </c>
      <c r="H10" s="5" t="s">
        <v>1482</v>
      </c>
    </row>
    <row r="11" spans="1:11" ht="27" x14ac:dyDescent="0.25">
      <c r="A11" s="5" t="str">
        <f>"24/06/2025"</f>
        <v>24/06/2025</v>
      </c>
      <c r="B11" s="5" t="s">
        <v>1114</v>
      </c>
      <c r="C11" s="5">
        <v>0</v>
      </c>
      <c r="D11" s="5">
        <v>1</v>
      </c>
      <c r="E11" s="5">
        <v>9</v>
      </c>
      <c r="F11" s="5">
        <v>16.72</v>
      </c>
      <c r="G11" s="5" t="s">
        <v>1209</v>
      </c>
      <c r="H11" s="5" t="s">
        <v>1487</v>
      </c>
    </row>
    <row r="12" spans="1:11" ht="27" x14ac:dyDescent="0.25">
      <c r="A12" s="5" t="str">
        <f>"06/07/2025"</f>
        <v>06/07/2025</v>
      </c>
      <c r="B12" s="5" t="s">
        <v>1102</v>
      </c>
      <c r="C12" s="5">
        <v>0</v>
      </c>
      <c r="D12" s="5">
        <v>1</v>
      </c>
      <c r="E12" s="5">
        <v>8</v>
      </c>
      <c r="F12" s="5">
        <v>16.72</v>
      </c>
      <c r="G12" s="5" t="s">
        <v>1209</v>
      </c>
      <c r="H12" s="5" t="s">
        <v>1464</v>
      </c>
    </row>
    <row r="13" spans="1:11" ht="27" x14ac:dyDescent="0.25">
      <c r="A13" s="5" t="str">
        <f>"12/07/2025"</f>
        <v>12/07/2025</v>
      </c>
      <c r="B13" s="5" t="s">
        <v>1129</v>
      </c>
      <c r="C13" s="5">
        <v>0</v>
      </c>
      <c r="D13" s="5">
        <v>1</v>
      </c>
      <c r="E13" s="5">
        <v>7</v>
      </c>
      <c r="F13" s="5">
        <v>16.72</v>
      </c>
      <c r="G13" s="5" t="s">
        <v>1209</v>
      </c>
      <c r="H13" s="5" t="s">
        <v>1488</v>
      </c>
    </row>
    <row r="14" spans="1:11" ht="27" x14ac:dyDescent="0.25">
      <c r="A14" s="5" t="str">
        <f>"13/07/2025"</f>
        <v>13/07/2025</v>
      </c>
      <c r="B14" s="5" t="s">
        <v>1102</v>
      </c>
      <c r="C14" s="5">
        <v>0</v>
      </c>
      <c r="D14" s="5">
        <v>1</v>
      </c>
      <c r="E14" s="5">
        <v>6</v>
      </c>
      <c r="F14" s="5">
        <v>16.72</v>
      </c>
      <c r="G14" s="5" t="s">
        <v>1209</v>
      </c>
      <c r="H14" s="5" t="s">
        <v>1173</v>
      </c>
    </row>
    <row r="15" spans="1:11" ht="27" x14ac:dyDescent="0.25">
      <c r="A15" s="5" t="str">
        <f>"19/07/2025"</f>
        <v>19/07/2025</v>
      </c>
      <c r="B15" s="5" t="s">
        <v>1102</v>
      </c>
      <c r="C15" s="5">
        <v>0</v>
      </c>
      <c r="D15" s="5">
        <v>2</v>
      </c>
      <c r="E15" s="5">
        <v>4</v>
      </c>
      <c r="F15" s="5">
        <v>16.72</v>
      </c>
      <c r="G15" s="5" t="s">
        <v>1209</v>
      </c>
      <c r="H15" s="5" t="s">
        <v>1489</v>
      </c>
    </row>
    <row r="16" spans="1:11" ht="27" x14ac:dyDescent="0.25">
      <c r="A16" s="5" t="str">
        <f>"20/07/2025"</f>
        <v>20/07/2025</v>
      </c>
      <c r="B16" s="5" t="s">
        <v>1102</v>
      </c>
      <c r="C16" s="5">
        <v>0</v>
      </c>
      <c r="D16" s="5">
        <v>1</v>
      </c>
      <c r="E16" s="5">
        <v>3</v>
      </c>
      <c r="F16" s="5">
        <v>16.72</v>
      </c>
      <c r="G16" s="5" t="s">
        <v>1209</v>
      </c>
      <c r="H16" s="5" t="s">
        <v>1469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37943-7040-4432-AD1B-B35983EBA9FE}">
  <dimension ref="A1:K20"/>
  <sheetViews>
    <sheetView workbookViewId="0">
      <selection activeCell="F11" sqref="F11"/>
    </sheetView>
  </sheetViews>
  <sheetFormatPr baseColWidth="10" defaultColWidth="12.42578125" defaultRowHeight="15" x14ac:dyDescent="0.25"/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355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"615908433524"</f>
        <v>615908433524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"615908433524"</f>
        <v>615908433524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9</v>
      </c>
      <c r="F10" s="5">
        <v>44.78</v>
      </c>
      <c r="G10" s="5" t="s">
        <v>1490</v>
      </c>
      <c r="H10" s="5" t="s">
        <v>1491</v>
      </c>
    </row>
    <row r="11" spans="1:11" ht="27" x14ac:dyDescent="0.25">
      <c r="A11" s="5" t="str">
        <f>"27/06/2025"</f>
        <v>27/06/2025</v>
      </c>
      <c r="B11" s="5" t="s">
        <v>1129</v>
      </c>
      <c r="C11" s="5">
        <v>0</v>
      </c>
      <c r="D11" s="5">
        <v>1</v>
      </c>
      <c r="E11" s="5">
        <v>8</v>
      </c>
      <c r="F11" s="5">
        <v>44.78</v>
      </c>
      <c r="G11" s="5" t="s">
        <v>1490</v>
      </c>
      <c r="H11" s="5" t="s">
        <v>1492</v>
      </c>
    </row>
    <row r="12" spans="1:11" ht="27" x14ac:dyDescent="0.25">
      <c r="A12" s="5" t="str">
        <f>"28/06/2025"</f>
        <v>28/06/2025</v>
      </c>
      <c r="B12" s="5" t="s">
        <v>1102</v>
      </c>
      <c r="C12" s="5">
        <v>0</v>
      </c>
      <c r="D12" s="5">
        <v>1</v>
      </c>
      <c r="E12" s="5">
        <v>7</v>
      </c>
      <c r="F12" s="5">
        <v>44.78</v>
      </c>
      <c r="G12" s="5" t="s">
        <v>1490</v>
      </c>
      <c r="H12" s="5" t="s">
        <v>1493</v>
      </c>
    </row>
    <row r="13" spans="1:11" ht="27" x14ac:dyDescent="0.25">
      <c r="A13" s="5" t="str">
        <f>"03/07/2025"</f>
        <v>03/07/2025</v>
      </c>
      <c r="B13" s="5" t="s">
        <v>1129</v>
      </c>
      <c r="C13" s="5">
        <v>0</v>
      </c>
      <c r="D13" s="5">
        <v>1</v>
      </c>
      <c r="E13" s="5">
        <v>6</v>
      </c>
      <c r="F13" s="5">
        <v>44.78</v>
      </c>
      <c r="G13" s="5" t="s">
        <v>1490</v>
      </c>
      <c r="H13" s="5" t="s">
        <v>1494</v>
      </c>
    </row>
    <row r="14" spans="1:11" ht="27" x14ac:dyDescent="0.25">
      <c r="A14" s="5" t="str">
        <f>"08/07/2025"</f>
        <v>08/07/2025</v>
      </c>
      <c r="B14" s="5" t="s">
        <v>1114</v>
      </c>
      <c r="C14" s="5">
        <v>0</v>
      </c>
      <c r="D14" s="5">
        <v>1</v>
      </c>
      <c r="E14" s="5">
        <v>5</v>
      </c>
      <c r="F14" s="5">
        <v>44.78</v>
      </c>
      <c r="G14" s="5" t="s">
        <v>1490</v>
      </c>
      <c r="H14" s="5" t="s">
        <v>1495</v>
      </c>
    </row>
    <row r="15" spans="1:11" ht="27" x14ac:dyDescent="0.25">
      <c r="A15" s="5" t="str">
        <f>"08/07/2025"</f>
        <v>08/07/2025</v>
      </c>
      <c r="B15" s="5" t="s">
        <v>1102</v>
      </c>
      <c r="C15" s="5">
        <v>0</v>
      </c>
      <c r="D15" s="5">
        <v>1</v>
      </c>
      <c r="E15" s="5">
        <v>4</v>
      </c>
      <c r="F15" s="5">
        <v>37.5</v>
      </c>
      <c r="G15" s="5" t="s">
        <v>1496</v>
      </c>
      <c r="H15" s="5" t="s">
        <v>1497</v>
      </c>
    </row>
    <row r="16" spans="1:11" ht="27" x14ac:dyDescent="0.25">
      <c r="A16" s="5" t="str">
        <f>"10/07/2025"</f>
        <v>10/07/2025</v>
      </c>
      <c r="B16" s="5" t="s">
        <v>1129</v>
      </c>
      <c r="C16" s="5">
        <v>0</v>
      </c>
      <c r="D16" s="5">
        <v>1</v>
      </c>
      <c r="E16" s="5">
        <v>3</v>
      </c>
      <c r="F16" s="5">
        <v>37.5</v>
      </c>
      <c r="G16" s="5" t="s">
        <v>1496</v>
      </c>
      <c r="H16" s="5" t="s">
        <v>1498</v>
      </c>
    </row>
    <row r="17" spans="1:8" ht="27" x14ac:dyDescent="0.25">
      <c r="A17" s="5" t="str">
        <f>"11/07/2025"</f>
        <v>11/07/2025</v>
      </c>
      <c r="B17" s="5" t="s">
        <v>1129</v>
      </c>
      <c r="C17" s="5">
        <v>0</v>
      </c>
      <c r="D17" s="5">
        <v>2</v>
      </c>
      <c r="E17" s="5">
        <v>1</v>
      </c>
      <c r="F17" s="5">
        <v>37.5</v>
      </c>
      <c r="G17" s="5" t="s">
        <v>1496</v>
      </c>
      <c r="H17" s="5" t="s">
        <v>1499</v>
      </c>
    </row>
    <row r="18" spans="1:8" ht="27" x14ac:dyDescent="0.25">
      <c r="A18" s="5" t="str">
        <f>"16/07/2025"</f>
        <v>16/07/2025</v>
      </c>
      <c r="B18" s="5" t="s">
        <v>1129</v>
      </c>
      <c r="C18" s="5">
        <v>0</v>
      </c>
      <c r="D18" s="5">
        <v>1</v>
      </c>
      <c r="E18" s="5">
        <v>0</v>
      </c>
      <c r="F18" s="5">
        <v>37.5</v>
      </c>
      <c r="G18" s="5" t="s">
        <v>1496</v>
      </c>
      <c r="H18" s="5" t="s">
        <v>1500</v>
      </c>
    </row>
    <row r="19" spans="1:8" ht="27" x14ac:dyDescent="0.25">
      <c r="A19" s="5" t="str">
        <f>"20/07/2025"</f>
        <v>20/07/2025</v>
      </c>
      <c r="B19" s="5" t="s">
        <v>1240</v>
      </c>
      <c r="C19" s="5">
        <v>2</v>
      </c>
      <c r="D19" s="5">
        <v>0</v>
      </c>
      <c r="E19" s="5">
        <v>2</v>
      </c>
      <c r="F19" s="5">
        <v>37.5</v>
      </c>
      <c r="G19" s="5" t="s">
        <v>1501</v>
      </c>
      <c r="H19" s="6"/>
    </row>
    <row r="20" spans="1:8" ht="27" x14ac:dyDescent="0.25">
      <c r="A20" s="5" t="str">
        <f>"20/07/2025"</f>
        <v>20/07/2025</v>
      </c>
      <c r="B20" s="5" t="s">
        <v>1102</v>
      </c>
      <c r="C20" s="5">
        <v>0</v>
      </c>
      <c r="D20" s="5">
        <v>1</v>
      </c>
      <c r="E20" s="5">
        <v>1</v>
      </c>
      <c r="F20" s="5">
        <v>37.5</v>
      </c>
      <c r="G20" s="5" t="s">
        <v>1501</v>
      </c>
      <c r="H20" s="5" t="s">
        <v>1502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827ED-EE3C-489A-8977-56A2FB920DFD}">
  <dimension ref="A1:K17"/>
  <sheetViews>
    <sheetView workbookViewId="0">
      <selection activeCell="J13" sqref="J13"/>
    </sheetView>
  </sheetViews>
  <sheetFormatPr baseColWidth="10" defaultRowHeight="15" x14ac:dyDescent="0.25"/>
  <cols>
    <col min="1" max="1" width="11" customWidth="1"/>
    <col min="2" max="2" width="20.5703125" customWidth="1"/>
    <col min="3" max="3" width="9" customWidth="1"/>
    <col min="4" max="4" width="7.5703125" customWidth="1"/>
    <col min="5" max="5" width="7" customWidth="1"/>
    <col min="6" max="6" width="21" customWidth="1"/>
    <col min="7" max="7" width="28.7109375" customWidth="1"/>
    <col min="8" max="8" width="23" customWidth="1"/>
    <col min="9" max="9" width="17.7109375" customWidth="1"/>
    <col min="10" max="10" width="18.5703125" customWidth="1"/>
    <col min="11" max="11" width="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1503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"615908433531"</f>
        <v>615908433531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"615908433531"</f>
        <v>615908433531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9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8</v>
      </c>
      <c r="F10" s="5">
        <v>49.09</v>
      </c>
      <c r="G10" s="5" t="s">
        <v>1490</v>
      </c>
      <c r="H10" s="5" t="s">
        <v>1491</v>
      </c>
    </row>
    <row r="11" spans="1:11" ht="27" x14ac:dyDescent="0.25">
      <c r="A11" s="5" t="str">
        <f>"27/06/2025"</f>
        <v>27/06/2025</v>
      </c>
      <c r="B11" s="5" t="s">
        <v>1129</v>
      </c>
      <c r="C11" s="5">
        <v>0</v>
      </c>
      <c r="D11" s="5">
        <v>1</v>
      </c>
      <c r="E11" s="5">
        <v>7</v>
      </c>
      <c r="F11" s="5">
        <v>49.09</v>
      </c>
      <c r="G11" s="5" t="s">
        <v>1490</v>
      </c>
      <c r="H11" s="5" t="s">
        <v>1492</v>
      </c>
    </row>
    <row r="12" spans="1:11" ht="27" x14ac:dyDescent="0.25">
      <c r="A12" s="5" t="str">
        <f>"03/07/2025"</f>
        <v>03/07/2025</v>
      </c>
      <c r="B12" s="5" t="s">
        <v>1129</v>
      </c>
      <c r="C12" s="5">
        <v>0</v>
      </c>
      <c r="D12" s="5">
        <v>1</v>
      </c>
      <c r="E12" s="5">
        <v>6</v>
      </c>
      <c r="F12" s="5">
        <v>49.09</v>
      </c>
      <c r="G12" s="5" t="s">
        <v>1490</v>
      </c>
      <c r="H12" s="5" t="s">
        <v>1494</v>
      </c>
    </row>
    <row r="13" spans="1:11" ht="27" x14ac:dyDescent="0.25">
      <c r="A13" s="5" t="str">
        <f>"08/07/2025"</f>
        <v>08/07/2025</v>
      </c>
      <c r="B13" s="5" t="s">
        <v>1114</v>
      </c>
      <c r="C13" s="5">
        <v>0</v>
      </c>
      <c r="D13" s="5">
        <v>1</v>
      </c>
      <c r="E13" s="5">
        <v>5</v>
      </c>
      <c r="F13" s="5">
        <v>49.09</v>
      </c>
      <c r="G13" s="5" t="s">
        <v>1490</v>
      </c>
      <c r="H13" s="5" t="s">
        <v>1495</v>
      </c>
    </row>
    <row r="14" spans="1:11" ht="27" x14ac:dyDescent="0.25">
      <c r="A14" s="5" t="str">
        <f>"08/07/2025"</f>
        <v>08/07/2025</v>
      </c>
      <c r="B14" s="5" t="s">
        <v>1102</v>
      </c>
      <c r="C14" s="5">
        <v>0</v>
      </c>
      <c r="D14" s="5">
        <v>1</v>
      </c>
      <c r="E14" s="5">
        <v>4</v>
      </c>
      <c r="F14" s="5">
        <v>37.5</v>
      </c>
      <c r="G14" s="5" t="s">
        <v>1496</v>
      </c>
      <c r="H14" s="5" t="s">
        <v>1497</v>
      </c>
    </row>
    <row r="15" spans="1:11" ht="27" x14ac:dyDescent="0.25">
      <c r="A15" s="5" t="str">
        <f>"10/07/2025"</f>
        <v>10/07/2025</v>
      </c>
      <c r="B15" s="5" t="s">
        <v>1129</v>
      </c>
      <c r="C15" s="5">
        <v>0</v>
      </c>
      <c r="D15" s="5">
        <v>1</v>
      </c>
      <c r="E15" s="5">
        <v>3</v>
      </c>
      <c r="F15" s="5">
        <v>37.5</v>
      </c>
      <c r="G15" s="5" t="s">
        <v>1496</v>
      </c>
      <c r="H15" s="5" t="s">
        <v>1498</v>
      </c>
    </row>
    <row r="16" spans="1:11" ht="27" x14ac:dyDescent="0.25">
      <c r="A16" s="5" t="str">
        <f>"16/07/2025"</f>
        <v>16/07/2025</v>
      </c>
      <c r="B16" s="5" t="s">
        <v>1129</v>
      </c>
      <c r="C16" s="5">
        <v>0</v>
      </c>
      <c r="D16" s="5">
        <v>1</v>
      </c>
      <c r="E16" s="5">
        <v>2</v>
      </c>
      <c r="F16" s="5">
        <v>37.5</v>
      </c>
      <c r="G16" s="5" t="s">
        <v>1496</v>
      </c>
      <c r="H16" s="5" t="s">
        <v>1500</v>
      </c>
    </row>
    <row r="17" spans="1:8" ht="27" x14ac:dyDescent="0.25">
      <c r="A17" s="5" t="str">
        <f>"20/07/2025"</f>
        <v>20/07/2025</v>
      </c>
      <c r="B17" s="5" t="s">
        <v>1102</v>
      </c>
      <c r="C17" s="5">
        <v>0</v>
      </c>
      <c r="D17" s="5">
        <v>1</v>
      </c>
      <c r="E17" s="5">
        <v>1</v>
      </c>
      <c r="F17" s="5">
        <v>37.5</v>
      </c>
      <c r="G17" s="5" t="s">
        <v>1496</v>
      </c>
      <c r="H17" s="5" t="s">
        <v>1502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09C0-17FA-4F3C-970B-BDCE0FA77A41}">
  <dimension ref="A1:K19"/>
  <sheetViews>
    <sheetView workbookViewId="0">
      <selection activeCell="I12" sqref="I12"/>
    </sheetView>
  </sheetViews>
  <sheetFormatPr baseColWidth="10" defaultRowHeight="15" x14ac:dyDescent="0.25"/>
  <cols>
    <col min="1" max="1" width="12.5703125" customWidth="1"/>
    <col min="2" max="2" width="19.140625" customWidth="1"/>
    <col min="3" max="3" width="8.42578125" customWidth="1"/>
    <col min="4" max="4" width="7" customWidth="1"/>
    <col min="5" max="5" width="6.42578125" customWidth="1"/>
    <col min="6" max="6" width="19.42578125" customWidth="1"/>
    <col min="7" max="7" width="36.140625" customWidth="1"/>
    <col min="8" max="8" width="21.42578125" customWidth="1"/>
    <col min="9" max="9" width="16.42578125" customWidth="1"/>
    <col min="10" max="10" width="17.140625" customWidth="1"/>
    <col min="11" max="11" width="23.28515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1059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"615908431339"</f>
        <v>615908431339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"615908431339"</f>
        <v>615908431339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15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"26/06/2025"</f>
        <v>26/06/2025</v>
      </c>
      <c r="B10" s="5" t="s">
        <v>1114</v>
      </c>
      <c r="C10" s="5">
        <v>0</v>
      </c>
      <c r="D10" s="5">
        <v>1</v>
      </c>
      <c r="E10" s="5">
        <v>14</v>
      </c>
      <c r="F10" s="5">
        <v>37.630000000000003</v>
      </c>
      <c r="G10" s="5" t="s">
        <v>1504</v>
      </c>
      <c r="H10" s="5" t="s">
        <v>1505</v>
      </c>
    </row>
    <row r="11" spans="1:11" ht="27" x14ac:dyDescent="0.25">
      <c r="A11" s="5" t="str">
        <f>"30/06/2025"</f>
        <v>30/06/2025</v>
      </c>
      <c r="B11" s="5" t="s">
        <v>1129</v>
      </c>
      <c r="C11" s="5">
        <v>0</v>
      </c>
      <c r="D11" s="5">
        <v>2</v>
      </c>
      <c r="E11" s="5">
        <v>12</v>
      </c>
      <c r="F11" s="5">
        <v>37.630000000000003</v>
      </c>
      <c r="G11" s="5" t="s">
        <v>1504</v>
      </c>
      <c r="H11" s="5" t="s">
        <v>1506</v>
      </c>
    </row>
    <row r="12" spans="1:11" ht="27" x14ac:dyDescent="0.25">
      <c r="A12" s="5" t="str">
        <f>"30/06/2025"</f>
        <v>30/06/2025</v>
      </c>
      <c r="B12" s="5" t="s">
        <v>1129</v>
      </c>
      <c r="C12" s="5">
        <v>0</v>
      </c>
      <c r="D12" s="5">
        <v>2</v>
      </c>
      <c r="E12" s="5">
        <v>10</v>
      </c>
      <c r="F12" s="5">
        <v>37.630000000000003</v>
      </c>
      <c r="G12" s="5" t="s">
        <v>1504</v>
      </c>
      <c r="H12" s="5" t="s">
        <v>1506</v>
      </c>
    </row>
    <row r="13" spans="1:11" ht="27" x14ac:dyDescent="0.25">
      <c r="A13" s="5" t="str">
        <f>"01/07/2025"</f>
        <v>01/07/2025</v>
      </c>
      <c r="B13" s="5" t="s">
        <v>1129</v>
      </c>
      <c r="C13" s="5">
        <v>0</v>
      </c>
      <c r="D13" s="5">
        <v>2</v>
      </c>
      <c r="E13" s="5">
        <v>8</v>
      </c>
      <c r="F13" s="5">
        <v>37.630000000000003</v>
      </c>
      <c r="G13" s="5" t="s">
        <v>1504</v>
      </c>
      <c r="H13" s="5" t="s">
        <v>1295</v>
      </c>
    </row>
    <row r="14" spans="1:11" ht="27" x14ac:dyDescent="0.25">
      <c r="A14" s="5" t="str">
        <f>"02/07/2025"</f>
        <v>02/07/2025</v>
      </c>
      <c r="B14" s="5" t="s">
        <v>1102</v>
      </c>
      <c r="C14" s="5">
        <v>0</v>
      </c>
      <c r="D14" s="5">
        <v>2</v>
      </c>
      <c r="E14" s="5">
        <v>6</v>
      </c>
      <c r="F14" s="5">
        <v>37.630000000000003</v>
      </c>
      <c r="G14" s="5" t="s">
        <v>1504</v>
      </c>
      <c r="H14" s="5" t="s">
        <v>1507</v>
      </c>
    </row>
    <row r="15" spans="1:11" ht="27" x14ac:dyDescent="0.25">
      <c r="A15" s="5" t="str">
        <f>"15/07/2025"</f>
        <v>15/07/2025</v>
      </c>
      <c r="B15" s="5" t="s">
        <v>1114</v>
      </c>
      <c r="C15" s="5">
        <v>0</v>
      </c>
      <c r="D15" s="5">
        <v>2</v>
      </c>
      <c r="E15" s="5">
        <v>4</v>
      </c>
      <c r="F15" s="5">
        <v>37.630000000000003</v>
      </c>
      <c r="G15" s="5" t="s">
        <v>1504</v>
      </c>
      <c r="H15" s="5" t="s">
        <v>1508</v>
      </c>
    </row>
    <row r="16" spans="1:11" ht="27" x14ac:dyDescent="0.25">
      <c r="A16" s="5" t="str">
        <f>"18/07/2025"</f>
        <v>18/07/2025</v>
      </c>
      <c r="B16" s="5" t="s">
        <v>1114</v>
      </c>
      <c r="C16" s="5">
        <v>0</v>
      </c>
      <c r="D16" s="5">
        <v>2</v>
      </c>
      <c r="E16" s="5">
        <v>2</v>
      </c>
      <c r="F16" s="5">
        <v>37.630000000000003</v>
      </c>
      <c r="G16" s="5" t="s">
        <v>1504</v>
      </c>
      <c r="H16" s="5" t="s">
        <v>1509</v>
      </c>
    </row>
    <row r="17" spans="1:8" ht="27" x14ac:dyDescent="0.25">
      <c r="A17" s="5" t="str">
        <f>"19/07/2025"</f>
        <v>19/07/2025</v>
      </c>
      <c r="B17" s="5" t="s">
        <v>1102</v>
      </c>
      <c r="C17" s="5">
        <v>0</v>
      </c>
      <c r="D17" s="5">
        <v>2</v>
      </c>
      <c r="E17" s="5">
        <v>0</v>
      </c>
      <c r="F17" s="5">
        <v>37.630000000000003</v>
      </c>
      <c r="G17" s="5" t="s">
        <v>1504</v>
      </c>
      <c r="H17" s="5" t="s">
        <v>1510</v>
      </c>
    </row>
    <row r="18" spans="1:8" ht="27" x14ac:dyDescent="0.25">
      <c r="A18" s="5" t="str">
        <f>"20/07/2025"</f>
        <v>20/07/2025</v>
      </c>
      <c r="B18" s="5" t="s">
        <v>1240</v>
      </c>
      <c r="C18" s="5">
        <v>3</v>
      </c>
      <c r="D18" s="5">
        <v>0</v>
      </c>
      <c r="E18" s="5">
        <v>3</v>
      </c>
      <c r="F18" s="5">
        <v>37.630000000000003</v>
      </c>
      <c r="G18" s="5" t="s">
        <v>1511</v>
      </c>
      <c r="H18" s="6"/>
    </row>
    <row r="19" spans="1:8" ht="27" x14ac:dyDescent="0.25">
      <c r="A19" s="5" t="str">
        <f>"20/07/2025"</f>
        <v>20/07/2025</v>
      </c>
      <c r="B19" s="5" t="s">
        <v>1102</v>
      </c>
      <c r="C19" s="5">
        <v>0</v>
      </c>
      <c r="D19" s="5">
        <v>2</v>
      </c>
      <c r="E19" s="5">
        <v>1</v>
      </c>
      <c r="F19" s="5">
        <v>37.630000000000003</v>
      </c>
      <c r="G19" s="5" t="s">
        <v>1511</v>
      </c>
      <c r="H19" s="5" t="s">
        <v>1512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670B-5527-4390-977E-7CAEF08A01BE}">
  <dimension ref="A1:K36"/>
  <sheetViews>
    <sheetView workbookViewId="0">
      <selection activeCell="C6" sqref="C6:I6"/>
    </sheetView>
  </sheetViews>
  <sheetFormatPr baseColWidth="10" defaultRowHeight="15" x14ac:dyDescent="0.25"/>
  <cols>
    <col min="1" max="1" width="11.28515625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19.85546875" customWidth="1"/>
    <col min="8" max="8" width="33.140625" customWidth="1"/>
    <col min="9" max="9" width="26.5703125" customWidth="1"/>
    <col min="10" max="10" width="14.85546875" customWidth="1"/>
    <col min="11" max="11" width="20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53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"4064666316161"</f>
        <v>4064666316161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"4064666316161"</f>
        <v>4064666316161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16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32</v>
      </c>
      <c r="D10" s="5">
        <v>0</v>
      </c>
      <c r="E10" s="5">
        <v>32</v>
      </c>
      <c r="F10" s="5">
        <v>37.26</v>
      </c>
      <c r="G10" s="5" t="s">
        <v>1244</v>
      </c>
      <c r="H10" s="6"/>
    </row>
    <row r="11" spans="1:11" ht="27" x14ac:dyDescent="0.25">
      <c r="A11" s="5" t="str">
        <f>"03/07/2025"</f>
        <v>03/07/2025</v>
      </c>
      <c r="B11" s="5" t="s">
        <v>1114</v>
      </c>
      <c r="C11" s="5">
        <v>0</v>
      </c>
      <c r="D11" s="5">
        <v>1</v>
      </c>
      <c r="E11" s="5">
        <v>31</v>
      </c>
      <c r="F11" s="5">
        <v>37.26</v>
      </c>
      <c r="G11" s="5" t="s">
        <v>1244</v>
      </c>
      <c r="H11" s="5" t="s">
        <v>1368</v>
      </c>
    </row>
    <row r="12" spans="1:11" ht="27" x14ac:dyDescent="0.25">
      <c r="A12" s="5" t="str">
        <f>"03/07/2025"</f>
        <v>03/07/2025</v>
      </c>
      <c r="B12" s="5" t="s">
        <v>1105</v>
      </c>
      <c r="C12" s="5">
        <v>0</v>
      </c>
      <c r="D12" s="5">
        <v>1</v>
      </c>
      <c r="E12" s="5">
        <v>30</v>
      </c>
      <c r="F12" s="5">
        <v>37.26</v>
      </c>
      <c r="G12" s="5" t="s">
        <v>1244</v>
      </c>
      <c r="H12" s="5" t="s">
        <v>1338</v>
      </c>
    </row>
    <row r="13" spans="1:11" ht="27" x14ac:dyDescent="0.25">
      <c r="A13" s="5" t="str">
        <f>"04/07/2025"</f>
        <v>04/07/2025</v>
      </c>
      <c r="B13" s="5" t="s">
        <v>1102</v>
      </c>
      <c r="C13" s="5">
        <v>0</v>
      </c>
      <c r="D13" s="5">
        <v>1</v>
      </c>
      <c r="E13" s="5">
        <v>29</v>
      </c>
      <c r="F13" s="5">
        <v>37.26</v>
      </c>
      <c r="G13" s="5" t="s">
        <v>1244</v>
      </c>
      <c r="H13" s="5" t="s">
        <v>1339</v>
      </c>
    </row>
    <row r="14" spans="1:11" ht="27" x14ac:dyDescent="0.25">
      <c r="A14" s="5" t="str">
        <f>"05/07/2025"</f>
        <v>05/07/2025</v>
      </c>
      <c r="B14" s="5" t="s">
        <v>1105</v>
      </c>
      <c r="C14" s="5">
        <v>0</v>
      </c>
      <c r="D14" s="5">
        <v>1</v>
      </c>
      <c r="E14" s="5">
        <v>28</v>
      </c>
      <c r="F14" s="5">
        <v>37.26</v>
      </c>
      <c r="G14" s="5" t="s">
        <v>1244</v>
      </c>
      <c r="H14" s="5" t="s">
        <v>1369</v>
      </c>
    </row>
    <row r="15" spans="1:11" ht="27" x14ac:dyDescent="0.25">
      <c r="A15" s="5" t="str">
        <f>"05/07/2025"</f>
        <v>05/07/2025</v>
      </c>
      <c r="B15" s="5" t="s">
        <v>1129</v>
      </c>
      <c r="C15" s="5">
        <v>0</v>
      </c>
      <c r="D15" s="5">
        <v>1</v>
      </c>
      <c r="E15" s="5">
        <v>27</v>
      </c>
      <c r="F15" s="5">
        <v>37.26</v>
      </c>
      <c r="G15" s="5" t="s">
        <v>1244</v>
      </c>
      <c r="H15" s="5" t="s">
        <v>1370</v>
      </c>
    </row>
    <row r="16" spans="1:11" ht="27" x14ac:dyDescent="0.25">
      <c r="A16" s="5" t="str">
        <f>"06/07/2025"</f>
        <v>06/07/2025</v>
      </c>
      <c r="B16" s="5" t="s">
        <v>1102</v>
      </c>
      <c r="C16" s="5">
        <v>0</v>
      </c>
      <c r="D16" s="5">
        <v>1</v>
      </c>
      <c r="E16" s="5">
        <v>26</v>
      </c>
      <c r="F16" s="5">
        <v>37.26</v>
      </c>
      <c r="G16" s="5" t="s">
        <v>1244</v>
      </c>
      <c r="H16" s="5" t="s">
        <v>1371</v>
      </c>
    </row>
    <row r="17" spans="1:11" ht="27" x14ac:dyDescent="0.25">
      <c r="A17" s="5" t="str">
        <f>"07/07/2025"</f>
        <v>07/07/2025</v>
      </c>
      <c r="B17" s="5" t="s">
        <v>1105</v>
      </c>
      <c r="C17" s="5">
        <v>0</v>
      </c>
      <c r="D17" s="5">
        <v>1</v>
      </c>
      <c r="E17" s="5">
        <v>25</v>
      </c>
      <c r="F17" s="5">
        <v>37.26</v>
      </c>
      <c r="G17" s="5" t="s">
        <v>1244</v>
      </c>
      <c r="H17" s="5" t="s">
        <v>1341</v>
      </c>
    </row>
    <row r="18" spans="1:11" ht="27" x14ac:dyDescent="0.25">
      <c r="A18" s="5" t="str">
        <f>"07/07/2025"</f>
        <v>07/07/2025</v>
      </c>
      <c r="B18" s="5" t="s">
        <v>1114</v>
      </c>
      <c r="C18" s="5">
        <v>0</v>
      </c>
      <c r="D18" s="5">
        <v>4</v>
      </c>
      <c r="E18" s="5">
        <v>21</v>
      </c>
      <c r="F18" s="5">
        <v>37.26</v>
      </c>
      <c r="G18" s="5" t="s">
        <v>1244</v>
      </c>
      <c r="H18" s="5" t="s">
        <v>1249</v>
      </c>
      <c r="I18" s="5" t="s">
        <v>1250</v>
      </c>
      <c r="J18" s="5" t="s">
        <v>1251</v>
      </c>
      <c r="K18" s="5" t="s">
        <v>1252</v>
      </c>
    </row>
    <row r="19" spans="1:11" ht="27" x14ac:dyDescent="0.25">
      <c r="A19" s="5" t="str">
        <f>"07/07/2025"</f>
        <v>07/07/2025</v>
      </c>
      <c r="B19" s="5" t="s">
        <v>1108</v>
      </c>
      <c r="C19" s="5">
        <v>0</v>
      </c>
      <c r="D19" s="5">
        <v>1</v>
      </c>
      <c r="E19" s="5">
        <v>20</v>
      </c>
      <c r="F19" s="5">
        <v>37.26</v>
      </c>
      <c r="G19" s="5" t="s">
        <v>1244</v>
      </c>
      <c r="H19" s="5" t="s">
        <v>1372</v>
      </c>
    </row>
    <row r="20" spans="1:11" ht="27" x14ac:dyDescent="0.25">
      <c r="A20" s="5" t="str">
        <f>"07/07/2025"</f>
        <v>07/07/2025</v>
      </c>
      <c r="B20" s="5" t="s">
        <v>1102</v>
      </c>
      <c r="C20" s="5">
        <v>0</v>
      </c>
      <c r="D20" s="5">
        <v>1</v>
      </c>
      <c r="E20" s="5">
        <v>19</v>
      </c>
      <c r="F20" s="5">
        <v>37.26</v>
      </c>
      <c r="G20" s="5" t="s">
        <v>1244</v>
      </c>
      <c r="H20" s="5" t="s">
        <v>1373</v>
      </c>
    </row>
    <row r="21" spans="1:11" ht="27" x14ac:dyDescent="0.25">
      <c r="A21" s="5" t="str">
        <f>"08/07/2025"</f>
        <v>08/07/2025</v>
      </c>
      <c r="B21" s="5" t="s">
        <v>1108</v>
      </c>
      <c r="C21" s="5">
        <v>0</v>
      </c>
      <c r="D21" s="5">
        <v>1</v>
      </c>
      <c r="E21" s="5">
        <v>18</v>
      </c>
      <c r="F21" s="5">
        <v>37.26</v>
      </c>
      <c r="G21" s="5" t="s">
        <v>1244</v>
      </c>
      <c r="H21" s="5" t="s">
        <v>1374</v>
      </c>
    </row>
    <row r="22" spans="1:11" ht="27" x14ac:dyDescent="0.25">
      <c r="A22" s="5" t="str">
        <f>"09/07/2025"</f>
        <v>09/07/2025</v>
      </c>
      <c r="B22" s="5" t="s">
        <v>1178</v>
      </c>
      <c r="C22" s="5">
        <v>0</v>
      </c>
      <c r="D22" s="5">
        <v>5</v>
      </c>
      <c r="E22" s="5">
        <v>13</v>
      </c>
      <c r="F22" s="5">
        <v>37.26</v>
      </c>
      <c r="G22" s="5" t="s">
        <v>1244</v>
      </c>
      <c r="H22" s="5" t="s">
        <v>1253</v>
      </c>
      <c r="I22" s="5" t="s">
        <v>1254</v>
      </c>
      <c r="J22" s="6"/>
      <c r="K22" s="6"/>
    </row>
    <row r="23" spans="1:11" ht="27" x14ac:dyDescent="0.25">
      <c r="A23" s="5" t="str">
        <f>"10/07/2025"</f>
        <v>10/07/2025</v>
      </c>
      <c r="B23" s="5" t="s">
        <v>1170</v>
      </c>
      <c r="C23" s="5">
        <v>0</v>
      </c>
      <c r="D23" s="5">
        <v>1</v>
      </c>
      <c r="E23" s="5">
        <v>12</v>
      </c>
      <c r="F23" s="5">
        <v>37.26</v>
      </c>
      <c r="G23" s="5" t="s">
        <v>1244</v>
      </c>
      <c r="H23" s="5" t="s">
        <v>1375</v>
      </c>
    </row>
    <row r="24" spans="1:11" ht="27" x14ac:dyDescent="0.25">
      <c r="A24" s="5" t="str">
        <f>"14/07/2025"</f>
        <v>14/07/2025</v>
      </c>
      <c r="B24" s="5" t="s">
        <v>1105</v>
      </c>
      <c r="C24" s="5">
        <v>0</v>
      </c>
      <c r="D24" s="5">
        <v>1</v>
      </c>
      <c r="E24" s="5">
        <v>11</v>
      </c>
      <c r="F24" s="5">
        <v>37.26</v>
      </c>
      <c r="G24" s="5" t="s">
        <v>1244</v>
      </c>
      <c r="H24" s="5" t="s">
        <v>1376</v>
      </c>
    </row>
    <row r="25" spans="1:11" ht="27" x14ac:dyDescent="0.25">
      <c r="A25" s="5" t="str">
        <f>"15/07/2025"</f>
        <v>15/07/2025</v>
      </c>
      <c r="B25" s="5" t="s">
        <v>1129</v>
      </c>
      <c r="C25" s="5">
        <v>0</v>
      </c>
      <c r="D25" s="5">
        <v>1</v>
      </c>
      <c r="E25" s="5">
        <v>10</v>
      </c>
      <c r="F25" s="5">
        <v>37.26</v>
      </c>
      <c r="G25" s="5" t="s">
        <v>1244</v>
      </c>
      <c r="H25" s="5" t="s">
        <v>1261</v>
      </c>
    </row>
    <row r="26" spans="1:11" ht="27" x14ac:dyDescent="0.25">
      <c r="A26" s="5" t="str">
        <f>"15/07/2025"</f>
        <v>15/07/2025</v>
      </c>
      <c r="B26" s="5" t="s">
        <v>1129</v>
      </c>
      <c r="C26" s="5">
        <v>0</v>
      </c>
      <c r="D26" s="5">
        <v>1</v>
      </c>
      <c r="E26" s="5">
        <v>9</v>
      </c>
      <c r="F26" s="5">
        <v>37.26</v>
      </c>
      <c r="G26" s="5" t="s">
        <v>1244</v>
      </c>
      <c r="H26" s="5" t="s">
        <v>1261</v>
      </c>
    </row>
    <row r="27" spans="1:11" ht="27" x14ac:dyDescent="0.25">
      <c r="A27" s="5" t="str">
        <f>"17/07/2025"</f>
        <v>17/07/2025</v>
      </c>
      <c r="B27" s="5" t="s">
        <v>1114</v>
      </c>
      <c r="C27" s="5">
        <v>16</v>
      </c>
      <c r="D27" s="5">
        <v>0</v>
      </c>
      <c r="E27" s="5">
        <v>25</v>
      </c>
      <c r="F27" s="5">
        <v>37.26</v>
      </c>
      <c r="G27" s="5" t="s">
        <v>1332</v>
      </c>
      <c r="H27" s="6"/>
    </row>
    <row r="28" spans="1:11" ht="27" x14ac:dyDescent="0.25">
      <c r="A28" s="5" t="str">
        <f>"17/07/2025"</f>
        <v>17/07/2025</v>
      </c>
      <c r="B28" s="5" t="s">
        <v>1114</v>
      </c>
      <c r="C28" s="5">
        <v>0</v>
      </c>
      <c r="D28" s="5">
        <v>1</v>
      </c>
      <c r="E28" s="5">
        <v>24</v>
      </c>
      <c r="F28" s="5">
        <v>37.26</v>
      </c>
      <c r="G28" s="5" t="s">
        <v>1244</v>
      </c>
      <c r="H28" s="5" t="s">
        <v>1377</v>
      </c>
    </row>
    <row r="29" spans="1:11" ht="27" x14ac:dyDescent="0.25">
      <c r="A29" s="5" t="str">
        <f>"17/07/2025"</f>
        <v>17/07/2025</v>
      </c>
      <c r="B29" s="5" t="s">
        <v>1114</v>
      </c>
      <c r="C29" s="5">
        <v>0</v>
      </c>
      <c r="D29" s="5">
        <v>1</v>
      </c>
      <c r="E29" s="5">
        <v>23</v>
      </c>
      <c r="F29" s="5">
        <v>37.26</v>
      </c>
      <c r="G29" s="5" t="s">
        <v>1244</v>
      </c>
      <c r="H29" s="5" t="s">
        <v>1378</v>
      </c>
    </row>
    <row r="30" spans="1:11" ht="27" x14ac:dyDescent="0.25">
      <c r="A30" s="5" t="str">
        <f>"18/07/2025"</f>
        <v>18/07/2025</v>
      </c>
      <c r="B30" s="5" t="s">
        <v>1114</v>
      </c>
      <c r="C30" s="5">
        <v>0</v>
      </c>
      <c r="D30" s="5">
        <v>1</v>
      </c>
      <c r="E30" s="5">
        <v>22</v>
      </c>
      <c r="F30" s="5">
        <v>37.26</v>
      </c>
      <c r="G30" s="5" t="s">
        <v>1244</v>
      </c>
      <c r="H30" s="5" t="s">
        <v>1285</v>
      </c>
    </row>
    <row r="31" spans="1:11" ht="27" x14ac:dyDescent="0.25">
      <c r="A31" s="5" t="str">
        <f>"18/07/2025"</f>
        <v>18/07/2025</v>
      </c>
      <c r="B31" s="5" t="s">
        <v>1114</v>
      </c>
      <c r="C31" s="5">
        <v>0</v>
      </c>
      <c r="D31" s="5">
        <v>1</v>
      </c>
      <c r="E31" s="5">
        <v>21</v>
      </c>
      <c r="F31" s="5">
        <v>37.26</v>
      </c>
      <c r="G31" s="5" t="s">
        <v>1244</v>
      </c>
      <c r="H31" s="5" t="s">
        <v>1379</v>
      </c>
    </row>
    <row r="32" spans="1:11" ht="27" x14ac:dyDescent="0.25">
      <c r="A32" s="5" t="str">
        <f>"18/07/2025"</f>
        <v>18/07/2025</v>
      </c>
      <c r="B32" s="5" t="s">
        <v>1114</v>
      </c>
      <c r="C32" s="5">
        <v>0</v>
      </c>
      <c r="D32" s="5">
        <v>1</v>
      </c>
      <c r="E32" s="5">
        <v>20</v>
      </c>
      <c r="F32" s="5">
        <v>37.26</v>
      </c>
      <c r="G32" s="5" t="s">
        <v>1244</v>
      </c>
      <c r="H32" s="5" t="s">
        <v>1380</v>
      </c>
    </row>
    <row r="33" spans="1:8" ht="27" x14ac:dyDescent="0.25">
      <c r="A33" s="5" t="str">
        <f>"18/07/2025"</f>
        <v>18/07/2025</v>
      </c>
      <c r="B33" s="5" t="s">
        <v>1102</v>
      </c>
      <c r="C33" s="5">
        <v>0</v>
      </c>
      <c r="D33" s="5">
        <v>1</v>
      </c>
      <c r="E33" s="5">
        <v>19</v>
      </c>
      <c r="F33" s="5">
        <v>37.26</v>
      </c>
      <c r="G33" s="5" t="s">
        <v>1244</v>
      </c>
      <c r="H33" s="5" t="s">
        <v>1286</v>
      </c>
    </row>
    <row r="34" spans="1:8" ht="27" x14ac:dyDescent="0.25">
      <c r="A34" s="5" t="str">
        <f>"20/07/2025"</f>
        <v>20/07/2025</v>
      </c>
      <c r="B34" s="5" t="s">
        <v>1102</v>
      </c>
      <c r="C34" s="5">
        <v>0</v>
      </c>
      <c r="D34" s="5">
        <v>1</v>
      </c>
      <c r="E34" s="5">
        <v>18</v>
      </c>
      <c r="F34" s="5">
        <v>37.26</v>
      </c>
      <c r="G34" s="5" t="s">
        <v>1244</v>
      </c>
      <c r="H34" s="5" t="s">
        <v>1348</v>
      </c>
    </row>
    <row r="35" spans="1:8" ht="27" x14ac:dyDescent="0.25">
      <c r="A35" s="5" t="str">
        <f>"20/07/2025"</f>
        <v>20/07/2025</v>
      </c>
      <c r="B35" s="5" t="s">
        <v>1102</v>
      </c>
      <c r="C35" s="5">
        <v>0</v>
      </c>
      <c r="D35" s="5">
        <v>1</v>
      </c>
      <c r="E35" s="5">
        <v>17</v>
      </c>
      <c r="F35" s="5">
        <v>37.26</v>
      </c>
      <c r="G35" s="5" t="s">
        <v>1244</v>
      </c>
      <c r="H35" s="5" t="s">
        <v>1335</v>
      </c>
    </row>
    <row r="36" spans="1:8" ht="27" x14ac:dyDescent="0.25">
      <c r="A36" s="5" t="str">
        <f>"20/07/2025"</f>
        <v>20/07/2025</v>
      </c>
      <c r="B36" s="5" t="s">
        <v>1102</v>
      </c>
      <c r="C36" s="5">
        <v>0</v>
      </c>
      <c r="D36" s="5">
        <v>1</v>
      </c>
      <c r="E36" s="5">
        <v>16</v>
      </c>
      <c r="F36" s="5">
        <v>37.26</v>
      </c>
      <c r="G36" s="5" t="s">
        <v>1244</v>
      </c>
      <c r="H36" s="5" t="s">
        <v>1381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3A5B8-6C38-40F9-A94B-86BF02B7476A}">
  <dimension ref="A1:K13"/>
  <sheetViews>
    <sheetView workbookViewId="0">
      <selection activeCell="G10" sqref="G10"/>
    </sheetView>
  </sheetViews>
  <sheetFormatPr baseColWidth="10" defaultRowHeight="15" x14ac:dyDescent="0.25"/>
  <cols>
    <col min="1" max="1" width="12.85546875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45.85546875" customWidth="1"/>
    <col min="8" max="8" width="18.5703125" customWidth="1"/>
    <col min="9" max="9" width="14.28515625" customWidth="1"/>
    <col min="10" max="10" width="14.85546875" customWidth="1"/>
    <col min="11" max="11" width="20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55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"8022297057125"</f>
        <v>8022297057125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"8022297057125"</f>
        <v>8022297057125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3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"25/06/2025"</f>
        <v>25/06/2025</v>
      </c>
      <c r="B10" s="5" t="s">
        <v>1102</v>
      </c>
      <c r="C10" s="5">
        <v>0</v>
      </c>
      <c r="D10" s="5">
        <v>3</v>
      </c>
      <c r="E10" s="5">
        <v>7</v>
      </c>
      <c r="F10" s="5">
        <v>11.18</v>
      </c>
      <c r="G10" s="5" t="s">
        <v>1513</v>
      </c>
      <c r="H10" s="5" t="s">
        <v>1274</v>
      </c>
    </row>
    <row r="11" spans="1:11" ht="27" x14ac:dyDescent="0.25">
      <c r="A11" s="5" t="str">
        <f>"26/06/2025"</f>
        <v>26/06/2025</v>
      </c>
      <c r="B11" s="5" t="s">
        <v>1105</v>
      </c>
      <c r="C11" s="5">
        <v>0</v>
      </c>
      <c r="D11" s="5">
        <v>1</v>
      </c>
      <c r="E11" s="5">
        <v>6</v>
      </c>
      <c r="F11" s="5">
        <v>13.89</v>
      </c>
      <c r="G11" s="5" t="s">
        <v>1288</v>
      </c>
      <c r="H11" s="5" t="s">
        <v>1514</v>
      </c>
    </row>
    <row r="12" spans="1:11" ht="27" x14ac:dyDescent="0.25">
      <c r="A12" s="5" t="str">
        <f>"29/06/2025"</f>
        <v>29/06/2025</v>
      </c>
      <c r="B12" s="5" t="s">
        <v>1102</v>
      </c>
      <c r="C12" s="5">
        <v>0</v>
      </c>
      <c r="D12" s="5">
        <v>2</v>
      </c>
      <c r="E12" s="5">
        <v>4</v>
      </c>
      <c r="F12" s="5">
        <v>13.89</v>
      </c>
      <c r="G12" s="5" t="s">
        <v>1288</v>
      </c>
      <c r="H12" s="5" t="s">
        <v>1515</v>
      </c>
    </row>
    <row r="13" spans="1:11" ht="27" x14ac:dyDescent="0.25">
      <c r="A13" s="5" t="str">
        <f>"11/07/2025"</f>
        <v>11/07/2025</v>
      </c>
      <c r="B13" s="5" t="s">
        <v>1129</v>
      </c>
      <c r="C13" s="5">
        <v>0</v>
      </c>
      <c r="D13" s="5">
        <v>1</v>
      </c>
      <c r="E13" s="5">
        <v>3</v>
      </c>
      <c r="F13" s="5">
        <v>13.89</v>
      </c>
      <c r="G13" s="5" t="s">
        <v>1288</v>
      </c>
      <c r="H13" s="5" t="s">
        <v>1516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3A557-9C1B-49F4-9F55-CA738279C411}">
  <dimension ref="A1:K24"/>
  <sheetViews>
    <sheetView workbookViewId="0">
      <selection activeCell="A4" sqref="A4:B4"/>
    </sheetView>
  </sheetViews>
  <sheetFormatPr baseColWidth="10" defaultRowHeight="15" x14ac:dyDescent="0.25"/>
  <cols>
    <col min="1" max="1" width="10.140625" customWidth="1"/>
    <col min="2" max="2" width="32.42578125" customWidth="1"/>
    <col min="3" max="3" width="7.7109375" customWidth="1"/>
    <col min="4" max="4" width="6.42578125" customWidth="1"/>
    <col min="5" max="5" width="6" customWidth="1"/>
    <col min="6" max="6" width="18" customWidth="1"/>
    <col min="7" max="7" width="32" customWidth="1"/>
    <col min="8" max="8" width="19.85546875" customWidth="1"/>
    <col min="9" max="9" width="15.28515625" customWidth="1"/>
    <col min="10" max="10" width="16" customWidth="1"/>
    <col min="11" max="11" width="21.710937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1517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"8022297072029"</f>
        <v>8022297072029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"8022297072029"</f>
        <v>8022297072029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15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10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"21/06/2025"</f>
        <v>21/06/2025</v>
      </c>
      <c r="B10" s="5" t="s">
        <v>1102</v>
      </c>
      <c r="C10" s="5">
        <v>0</v>
      </c>
      <c r="D10" s="5">
        <v>1</v>
      </c>
      <c r="E10" s="5">
        <v>14</v>
      </c>
      <c r="F10" s="5">
        <v>79.260000000000005</v>
      </c>
      <c r="G10" s="5" t="s">
        <v>1518</v>
      </c>
      <c r="H10" s="5" t="s">
        <v>1519</v>
      </c>
    </row>
    <row r="11" spans="1:11" ht="27" x14ac:dyDescent="0.25">
      <c r="A11" s="5" t="str">
        <f>"25/06/2025"</f>
        <v>25/06/2025</v>
      </c>
      <c r="B11" s="5" t="s">
        <v>1102</v>
      </c>
      <c r="C11" s="5">
        <v>0</v>
      </c>
      <c r="D11" s="5">
        <v>1</v>
      </c>
      <c r="E11" s="5">
        <v>13</v>
      </c>
      <c r="F11" s="5">
        <v>79.260000000000005</v>
      </c>
      <c r="G11" s="5" t="s">
        <v>1520</v>
      </c>
      <c r="H11" s="5" t="s">
        <v>1521</v>
      </c>
    </row>
    <row r="12" spans="1:11" ht="27" x14ac:dyDescent="0.25">
      <c r="A12" s="5" t="str">
        <f>"25/06/2025"</f>
        <v>25/06/2025</v>
      </c>
      <c r="B12" s="5" t="s">
        <v>1102</v>
      </c>
      <c r="C12" s="5">
        <v>0</v>
      </c>
      <c r="D12" s="5">
        <v>1</v>
      </c>
      <c r="E12" s="5">
        <v>12</v>
      </c>
      <c r="F12" s="5">
        <v>79.260000000000005</v>
      </c>
      <c r="G12" s="5" t="s">
        <v>1520</v>
      </c>
      <c r="H12" s="5" t="s">
        <v>1521</v>
      </c>
    </row>
    <row r="13" spans="1:11" ht="27" x14ac:dyDescent="0.25">
      <c r="A13" s="5" t="str">
        <f>"26/06/2025"</f>
        <v>26/06/2025</v>
      </c>
      <c r="B13" s="5" t="s">
        <v>1105</v>
      </c>
      <c r="C13" s="5">
        <v>0</v>
      </c>
      <c r="D13" s="5">
        <v>1</v>
      </c>
      <c r="E13" s="5">
        <v>11</v>
      </c>
      <c r="F13" s="5">
        <v>79.260000000000005</v>
      </c>
      <c r="G13" s="5" t="s">
        <v>1522</v>
      </c>
      <c r="H13" s="5" t="s">
        <v>1523</v>
      </c>
    </row>
    <row r="14" spans="1:11" ht="27" x14ac:dyDescent="0.25">
      <c r="A14" s="5" t="str">
        <f>"30/06/2025"</f>
        <v>30/06/2025</v>
      </c>
      <c r="B14" s="5" t="s">
        <v>1108</v>
      </c>
      <c r="C14" s="5">
        <v>0</v>
      </c>
      <c r="D14" s="5">
        <v>1</v>
      </c>
      <c r="E14" s="5">
        <v>10</v>
      </c>
      <c r="F14" s="5">
        <v>79.260000000000005</v>
      </c>
      <c r="G14" s="5" t="s">
        <v>1522</v>
      </c>
      <c r="H14" s="5" t="s">
        <v>1524</v>
      </c>
    </row>
    <row r="15" spans="1:11" ht="27" x14ac:dyDescent="0.25">
      <c r="A15" s="5" t="str">
        <f>"30/06/2025"</f>
        <v>30/06/2025</v>
      </c>
      <c r="B15" s="5" t="s">
        <v>1105</v>
      </c>
      <c r="C15" s="5">
        <v>0</v>
      </c>
      <c r="D15" s="5">
        <v>1</v>
      </c>
      <c r="E15" s="5">
        <v>9</v>
      </c>
      <c r="F15" s="5">
        <v>79.260000000000005</v>
      </c>
      <c r="G15" s="5" t="s">
        <v>1522</v>
      </c>
      <c r="H15" s="5" t="s">
        <v>1525</v>
      </c>
    </row>
    <row r="16" spans="1:11" ht="27" x14ac:dyDescent="0.25">
      <c r="A16" s="5" t="str">
        <f>"02/07/2025"</f>
        <v>02/07/2025</v>
      </c>
      <c r="B16" s="5" t="s">
        <v>1102</v>
      </c>
      <c r="C16" s="5">
        <v>0</v>
      </c>
      <c r="D16" s="5">
        <v>1</v>
      </c>
      <c r="E16" s="5">
        <v>8</v>
      </c>
      <c r="F16" s="5">
        <v>79.260000000000005</v>
      </c>
      <c r="G16" s="5" t="s">
        <v>1522</v>
      </c>
      <c r="H16" s="5" t="s">
        <v>1526</v>
      </c>
    </row>
    <row r="17" spans="1:8" ht="27" x14ac:dyDescent="0.25">
      <c r="A17" s="5" t="str">
        <f>"08/07/2025"</f>
        <v>08/07/2025</v>
      </c>
      <c r="B17" s="5" t="s">
        <v>1105</v>
      </c>
      <c r="C17" s="5">
        <v>0</v>
      </c>
      <c r="D17" s="5">
        <v>1</v>
      </c>
      <c r="E17" s="5">
        <v>7</v>
      </c>
      <c r="F17" s="5">
        <v>79.260000000000005</v>
      </c>
      <c r="G17" s="5" t="s">
        <v>1522</v>
      </c>
      <c r="H17" s="5" t="s">
        <v>1527</v>
      </c>
    </row>
    <row r="18" spans="1:8" ht="27" x14ac:dyDescent="0.25">
      <c r="A18" s="5" t="str">
        <f>"08/07/2025"</f>
        <v>08/07/2025</v>
      </c>
      <c r="B18" s="5" t="s">
        <v>1105</v>
      </c>
      <c r="C18" s="5">
        <v>0</v>
      </c>
      <c r="D18" s="5">
        <v>1</v>
      </c>
      <c r="E18" s="5">
        <v>6</v>
      </c>
      <c r="F18" s="5">
        <v>79.260000000000005</v>
      </c>
      <c r="G18" s="5" t="s">
        <v>1522</v>
      </c>
      <c r="H18" s="5" t="s">
        <v>1528</v>
      </c>
    </row>
    <row r="19" spans="1:8" ht="27" x14ac:dyDescent="0.25">
      <c r="A19" s="5" t="str">
        <f>"14/07/2025"</f>
        <v>14/07/2025</v>
      </c>
      <c r="B19" s="5" t="s">
        <v>1129</v>
      </c>
      <c r="C19" s="5">
        <v>0</v>
      </c>
      <c r="D19" s="5">
        <v>1</v>
      </c>
      <c r="E19" s="5">
        <v>5</v>
      </c>
      <c r="F19" s="5">
        <v>79.260000000000005</v>
      </c>
      <c r="G19" s="5" t="s">
        <v>1522</v>
      </c>
      <c r="H19" s="5" t="s">
        <v>1529</v>
      </c>
    </row>
    <row r="20" spans="1:8" ht="27" x14ac:dyDescent="0.25">
      <c r="A20" s="5" t="str">
        <f>"14/07/2025"</f>
        <v>14/07/2025</v>
      </c>
      <c r="B20" s="5" t="s">
        <v>1129</v>
      </c>
      <c r="C20" s="5">
        <v>0</v>
      </c>
      <c r="D20" s="5">
        <v>1</v>
      </c>
      <c r="E20" s="5">
        <v>4</v>
      </c>
      <c r="F20" s="5">
        <v>79.260000000000005</v>
      </c>
      <c r="G20" s="5" t="s">
        <v>1522</v>
      </c>
      <c r="H20" s="5" t="s">
        <v>1529</v>
      </c>
    </row>
    <row r="21" spans="1:8" ht="27" x14ac:dyDescent="0.25">
      <c r="A21" s="5" t="str">
        <f>"15/07/2025"</f>
        <v>15/07/2025</v>
      </c>
      <c r="B21" s="5" t="s">
        <v>1114</v>
      </c>
      <c r="C21" s="5">
        <v>0</v>
      </c>
      <c r="D21" s="5">
        <v>1</v>
      </c>
      <c r="E21" s="5">
        <v>3</v>
      </c>
      <c r="F21" s="5">
        <v>79.260000000000005</v>
      </c>
      <c r="G21" s="5" t="s">
        <v>1522</v>
      </c>
      <c r="H21" s="5" t="s">
        <v>1530</v>
      </c>
    </row>
    <row r="22" spans="1:8" ht="27" x14ac:dyDescent="0.25">
      <c r="A22" s="5" t="str">
        <f>"16/07/2025"</f>
        <v>16/07/2025</v>
      </c>
      <c r="B22" s="5" t="s">
        <v>1129</v>
      </c>
      <c r="C22" s="5">
        <v>0</v>
      </c>
      <c r="D22" s="5">
        <v>1</v>
      </c>
      <c r="E22" s="5">
        <v>2</v>
      </c>
      <c r="F22" s="5">
        <v>79.260000000000005</v>
      </c>
      <c r="G22" s="5" t="s">
        <v>1522</v>
      </c>
      <c r="H22" s="5" t="s">
        <v>1531</v>
      </c>
    </row>
    <row r="23" spans="1:8" ht="27" x14ac:dyDescent="0.25">
      <c r="A23" s="5" t="str">
        <f>"16/07/2025"</f>
        <v>16/07/2025</v>
      </c>
      <c r="B23" s="5" t="s">
        <v>1114</v>
      </c>
      <c r="C23" s="5">
        <v>9</v>
      </c>
      <c r="D23" s="5">
        <v>0</v>
      </c>
      <c r="E23" s="5">
        <v>11</v>
      </c>
      <c r="F23" s="5">
        <v>79.260000000000005</v>
      </c>
      <c r="G23" s="5" t="s">
        <v>1435</v>
      </c>
      <c r="H23" s="6"/>
    </row>
    <row r="24" spans="1:8" ht="27" x14ac:dyDescent="0.25">
      <c r="A24" s="5" t="str">
        <f>"18/07/2025"</f>
        <v>18/07/2025</v>
      </c>
      <c r="B24" s="5" t="s">
        <v>1129</v>
      </c>
      <c r="C24" s="5">
        <v>0</v>
      </c>
      <c r="D24" s="5">
        <v>1</v>
      </c>
      <c r="E24" s="5">
        <v>10</v>
      </c>
      <c r="F24" s="5">
        <v>79.260000000000005</v>
      </c>
      <c r="G24" s="5" t="s">
        <v>1522</v>
      </c>
      <c r="H24" s="5" t="s">
        <v>1532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37504-83F0-4723-A9A1-EACDD699C836}">
  <dimension ref="A1:K17"/>
  <sheetViews>
    <sheetView workbookViewId="0">
      <selection activeCell="C5" sqref="C5:I5"/>
    </sheetView>
  </sheetViews>
  <sheetFormatPr baseColWidth="10" defaultRowHeight="15" x14ac:dyDescent="0.25"/>
  <cols>
    <col min="1" max="1" width="10.5703125" customWidth="1"/>
    <col min="2" max="2" width="22.42578125" customWidth="1"/>
    <col min="3" max="3" width="9" customWidth="1"/>
    <col min="4" max="4" width="7.42578125" customWidth="1"/>
    <col min="5" max="5" width="6.85546875" customWidth="1"/>
    <col min="6" max="6" width="20.85546875" customWidth="1"/>
    <col min="7" max="7" width="28.7109375" customWidth="1"/>
    <col min="8" max="8" width="23" customWidth="1"/>
    <col min="9" max="9" width="17.7109375" customWidth="1"/>
    <col min="10" max="10" width="18.42578125" customWidth="1"/>
    <col min="11" max="11" width="25.140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711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"8022297157559"</f>
        <v>8022297157559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"8022297157559"</f>
        <v>8022297157559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33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25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32</v>
      </c>
      <c r="F10" s="5">
        <v>39.39</v>
      </c>
      <c r="G10" s="5" t="s">
        <v>1520</v>
      </c>
      <c r="H10" s="5" t="s">
        <v>1444</v>
      </c>
    </row>
    <row r="11" spans="1:11" ht="27" x14ac:dyDescent="0.25">
      <c r="A11" s="5" t="str">
        <f>"21/06/2025"</f>
        <v>21/06/2025</v>
      </c>
      <c r="B11" s="5" t="s">
        <v>1102</v>
      </c>
      <c r="C11" s="5">
        <v>0</v>
      </c>
      <c r="D11" s="5">
        <v>1</v>
      </c>
      <c r="E11" s="5">
        <v>31</v>
      </c>
      <c r="F11" s="5">
        <v>39.39</v>
      </c>
      <c r="G11" s="5" t="s">
        <v>1520</v>
      </c>
      <c r="H11" s="5" t="s">
        <v>1519</v>
      </c>
    </row>
    <row r="12" spans="1:11" ht="27" x14ac:dyDescent="0.25">
      <c r="A12" s="5" t="str">
        <f>"25/06/2025"</f>
        <v>25/06/2025</v>
      </c>
      <c r="B12" s="5" t="s">
        <v>1102</v>
      </c>
      <c r="C12" s="5">
        <v>0</v>
      </c>
      <c r="D12" s="5">
        <v>1</v>
      </c>
      <c r="E12" s="5">
        <v>30</v>
      </c>
      <c r="F12" s="5">
        <v>39.39</v>
      </c>
      <c r="G12" s="5" t="s">
        <v>1520</v>
      </c>
      <c r="H12" s="5" t="s">
        <v>1521</v>
      </c>
    </row>
    <row r="13" spans="1:11" ht="27" x14ac:dyDescent="0.25">
      <c r="A13" s="5" t="str">
        <f>"25/06/2025"</f>
        <v>25/06/2025</v>
      </c>
      <c r="B13" s="5" t="s">
        <v>1102</v>
      </c>
      <c r="C13" s="5">
        <v>0</v>
      </c>
      <c r="D13" s="5">
        <v>1</v>
      </c>
      <c r="E13" s="5">
        <v>29</v>
      </c>
      <c r="F13" s="5">
        <v>39.39</v>
      </c>
      <c r="G13" s="5" t="s">
        <v>1520</v>
      </c>
      <c r="H13" s="5" t="s">
        <v>1521</v>
      </c>
    </row>
    <row r="14" spans="1:11" ht="27" x14ac:dyDescent="0.25">
      <c r="A14" s="5" t="str">
        <f>"30/06/2025"</f>
        <v>30/06/2025</v>
      </c>
      <c r="B14" s="5" t="s">
        <v>1108</v>
      </c>
      <c r="C14" s="5">
        <v>0</v>
      </c>
      <c r="D14" s="5">
        <v>1</v>
      </c>
      <c r="E14" s="5">
        <v>28</v>
      </c>
      <c r="F14" s="5">
        <v>39.39</v>
      </c>
      <c r="G14" s="5" t="s">
        <v>1520</v>
      </c>
      <c r="H14" s="5" t="s">
        <v>1524</v>
      </c>
    </row>
    <row r="15" spans="1:11" ht="27" x14ac:dyDescent="0.25">
      <c r="A15" s="5" t="str">
        <f>"02/07/2025"</f>
        <v>02/07/2025</v>
      </c>
      <c r="B15" s="5" t="s">
        <v>1102</v>
      </c>
      <c r="C15" s="5">
        <v>0</v>
      </c>
      <c r="D15" s="5">
        <v>1</v>
      </c>
      <c r="E15" s="5">
        <v>27</v>
      </c>
      <c r="F15" s="5">
        <v>39.39</v>
      </c>
      <c r="G15" s="5" t="s">
        <v>1520</v>
      </c>
      <c r="H15" s="5" t="s">
        <v>1526</v>
      </c>
    </row>
    <row r="16" spans="1:11" ht="27" x14ac:dyDescent="0.25">
      <c r="A16" s="5" t="str">
        <f>"14/07/2025"</f>
        <v>14/07/2025</v>
      </c>
      <c r="B16" s="5" t="s">
        <v>1129</v>
      </c>
      <c r="C16" s="5">
        <v>0</v>
      </c>
      <c r="D16" s="5">
        <v>1</v>
      </c>
      <c r="E16" s="5">
        <v>26</v>
      </c>
      <c r="F16" s="5">
        <v>39.39</v>
      </c>
      <c r="G16" s="5" t="s">
        <v>1520</v>
      </c>
      <c r="H16" s="5" t="s">
        <v>1529</v>
      </c>
    </row>
    <row r="17" spans="1:8" ht="27" x14ac:dyDescent="0.25">
      <c r="A17" s="5" t="str">
        <f>"16/07/2025"</f>
        <v>16/07/2025</v>
      </c>
      <c r="B17" s="5" t="s">
        <v>1129</v>
      </c>
      <c r="C17" s="5">
        <v>0</v>
      </c>
      <c r="D17" s="5">
        <v>1</v>
      </c>
      <c r="E17" s="5">
        <v>25</v>
      </c>
      <c r="F17" s="5">
        <v>39.39</v>
      </c>
      <c r="G17" s="5" t="s">
        <v>1520</v>
      </c>
      <c r="H17" s="5" t="s">
        <v>1531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386523-01EF-45E8-A17D-AA1D8B2AF5D7}">
  <dimension ref="A1:K22"/>
  <sheetViews>
    <sheetView workbookViewId="0">
      <selection activeCell="K14" sqref="K14"/>
    </sheetView>
  </sheetViews>
  <sheetFormatPr baseColWidth="10" defaultColWidth="11.7109375" defaultRowHeight="15" x14ac:dyDescent="0.25"/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1533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"6943074121361"</f>
        <v>6943074121361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"P0000000000063"</f>
        <v>P0000000000063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28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23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"28/06/2025"</f>
        <v>28/06/2025</v>
      </c>
      <c r="B10" s="5" t="s">
        <v>1105</v>
      </c>
      <c r="C10" s="5">
        <v>0</v>
      </c>
      <c r="D10" s="5">
        <v>1</v>
      </c>
      <c r="E10" s="5">
        <v>27</v>
      </c>
      <c r="F10" s="5">
        <v>31.07</v>
      </c>
      <c r="G10" s="5" t="s">
        <v>1534</v>
      </c>
      <c r="H10" s="5" t="s">
        <v>1535</v>
      </c>
    </row>
    <row r="11" spans="1:11" ht="27" x14ac:dyDescent="0.25">
      <c r="A11" s="5" t="str">
        <f>"30/06/2025"</f>
        <v>30/06/2025</v>
      </c>
      <c r="B11" s="5" t="s">
        <v>1108</v>
      </c>
      <c r="C11" s="5">
        <v>0</v>
      </c>
      <c r="D11" s="5">
        <v>1</v>
      </c>
      <c r="E11" s="5">
        <v>26</v>
      </c>
      <c r="F11" s="5">
        <v>31.07</v>
      </c>
      <c r="G11" s="5" t="s">
        <v>1534</v>
      </c>
      <c r="H11" s="5" t="s">
        <v>1536</v>
      </c>
    </row>
    <row r="12" spans="1:11" ht="27" x14ac:dyDescent="0.25">
      <c r="A12" s="5" t="str">
        <f>"02/07/2025"</f>
        <v>02/07/2025</v>
      </c>
      <c r="B12" s="5" t="s">
        <v>1108</v>
      </c>
      <c r="C12" s="5">
        <v>0</v>
      </c>
      <c r="D12" s="5">
        <v>1</v>
      </c>
      <c r="E12" s="5">
        <v>25</v>
      </c>
      <c r="F12" s="5">
        <v>31.07</v>
      </c>
      <c r="G12" s="5" t="s">
        <v>1534</v>
      </c>
      <c r="H12" s="5" t="s">
        <v>1537</v>
      </c>
    </row>
    <row r="13" spans="1:11" ht="27" x14ac:dyDescent="0.25">
      <c r="A13" s="5" t="str">
        <f>"02/07/2025"</f>
        <v>02/07/2025</v>
      </c>
      <c r="B13" s="5" t="s">
        <v>1114</v>
      </c>
      <c r="C13" s="5">
        <v>5</v>
      </c>
      <c r="D13" s="5">
        <v>0</v>
      </c>
      <c r="E13" s="5">
        <v>30</v>
      </c>
      <c r="F13" s="5">
        <v>31.07</v>
      </c>
      <c r="G13" s="5" t="s">
        <v>1141</v>
      </c>
      <c r="H13" s="6"/>
    </row>
    <row r="14" spans="1:11" ht="27" x14ac:dyDescent="0.25">
      <c r="A14" s="5" t="str">
        <f>"04/07/2025"</f>
        <v>04/07/2025</v>
      </c>
      <c r="B14" s="5" t="s">
        <v>1105</v>
      </c>
      <c r="C14" s="5">
        <v>0</v>
      </c>
      <c r="D14" s="5">
        <v>1</v>
      </c>
      <c r="E14" s="5">
        <v>29</v>
      </c>
      <c r="F14" s="5">
        <v>31.07</v>
      </c>
      <c r="G14" s="5" t="s">
        <v>1534</v>
      </c>
      <c r="H14" s="5" t="s">
        <v>1538</v>
      </c>
    </row>
    <row r="15" spans="1:11" ht="27" x14ac:dyDescent="0.25">
      <c r="A15" s="5" t="str">
        <f>"09/07/2025"</f>
        <v>09/07/2025</v>
      </c>
      <c r="B15" s="5" t="s">
        <v>1114</v>
      </c>
      <c r="C15" s="5">
        <v>0</v>
      </c>
      <c r="D15" s="5">
        <v>1</v>
      </c>
      <c r="E15" s="5">
        <v>28</v>
      </c>
      <c r="F15" s="5">
        <v>31.07</v>
      </c>
      <c r="G15" s="5" t="s">
        <v>1141</v>
      </c>
      <c r="H15" s="5" t="s">
        <v>1539</v>
      </c>
    </row>
    <row r="16" spans="1:11" ht="27" x14ac:dyDescent="0.25">
      <c r="A16" s="5" t="str">
        <f>"11/07/2025"</f>
        <v>11/07/2025</v>
      </c>
      <c r="B16" s="5" t="s">
        <v>1170</v>
      </c>
      <c r="C16" s="5">
        <v>0</v>
      </c>
      <c r="D16" s="5">
        <v>1</v>
      </c>
      <c r="E16" s="5">
        <v>27</v>
      </c>
      <c r="F16" s="5">
        <v>31.07</v>
      </c>
      <c r="G16" s="5" t="s">
        <v>1141</v>
      </c>
      <c r="H16" s="5" t="s">
        <v>1540</v>
      </c>
    </row>
    <row r="17" spans="1:8" ht="27" x14ac:dyDescent="0.25">
      <c r="A17" s="5" t="str">
        <f>"12/07/2025"</f>
        <v>12/07/2025</v>
      </c>
      <c r="B17" s="5" t="s">
        <v>1102</v>
      </c>
      <c r="C17" s="5">
        <v>0</v>
      </c>
      <c r="D17" s="5">
        <v>1</v>
      </c>
      <c r="E17" s="5">
        <v>26</v>
      </c>
      <c r="F17" s="5">
        <v>31.07</v>
      </c>
      <c r="G17" s="5" t="s">
        <v>1141</v>
      </c>
      <c r="H17" s="5" t="s">
        <v>1541</v>
      </c>
    </row>
    <row r="18" spans="1:8" ht="27" x14ac:dyDescent="0.25">
      <c r="A18" s="5" t="str">
        <f>"12/07/2025"</f>
        <v>12/07/2025</v>
      </c>
      <c r="B18" s="5" t="s">
        <v>1102</v>
      </c>
      <c r="C18" s="5">
        <v>0</v>
      </c>
      <c r="D18" s="5">
        <v>1</v>
      </c>
      <c r="E18" s="5">
        <v>25</v>
      </c>
      <c r="F18" s="5">
        <v>31.07</v>
      </c>
      <c r="G18" s="5" t="s">
        <v>1141</v>
      </c>
      <c r="H18" s="5" t="s">
        <v>1541</v>
      </c>
    </row>
    <row r="19" spans="1:8" ht="27" x14ac:dyDescent="0.25">
      <c r="A19" s="5" t="str">
        <f>"14/07/2025"</f>
        <v>14/07/2025</v>
      </c>
      <c r="B19" s="5" t="s">
        <v>1108</v>
      </c>
      <c r="C19" s="5">
        <v>0</v>
      </c>
      <c r="D19" s="5">
        <v>1</v>
      </c>
      <c r="E19" s="5">
        <v>24</v>
      </c>
      <c r="F19" s="5">
        <v>31.07</v>
      </c>
      <c r="G19" s="5" t="s">
        <v>1141</v>
      </c>
      <c r="H19" s="5" t="s">
        <v>1542</v>
      </c>
    </row>
    <row r="20" spans="1:8" ht="27" x14ac:dyDescent="0.25">
      <c r="A20" s="5" t="str">
        <f>"14/07/2025"</f>
        <v>14/07/2025</v>
      </c>
      <c r="B20" s="5" t="s">
        <v>1108</v>
      </c>
      <c r="C20" s="5">
        <v>0</v>
      </c>
      <c r="D20" s="5">
        <v>1</v>
      </c>
      <c r="E20" s="5">
        <v>23</v>
      </c>
      <c r="F20" s="5">
        <v>31.07</v>
      </c>
      <c r="G20" s="5" t="s">
        <v>1543</v>
      </c>
      <c r="H20" s="5" t="s">
        <v>1544</v>
      </c>
    </row>
    <row r="21" spans="1:8" ht="27" x14ac:dyDescent="0.25">
      <c r="A21" s="5" t="str">
        <f>"14/07/2025"</f>
        <v>14/07/2025</v>
      </c>
      <c r="B21" s="5" t="s">
        <v>1108</v>
      </c>
      <c r="C21" s="5">
        <v>1</v>
      </c>
      <c r="D21" s="5">
        <v>0</v>
      </c>
      <c r="E21" s="5">
        <v>24</v>
      </c>
      <c r="F21" s="5">
        <v>31.07</v>
      </c>
      <c r="G21" s="5" t="s">
        <v>1545</v>
      </c>
      <c r="H21" s="6"/>
    </row>
    <row r="22" spans="1:8" ht="27" x14ac:dyDescent="0.25">
      <c r="A22" s="5" t="str">
        <f>"15/07/2025"</f>
        <v>15/07/2025</v>
      </c>
      <c r="B22" s="5" t="s">
        <v>1114</v>
      </c>
      <c r="C22" s="5">
        <v>0</v>
      </c>
      <c r="D22" s="5">
        <v>1</v>
      </c>
      <c r="E22" s="5">
        <v>23</v>
      </c>
      <c r="F22" s="5">
        <v>31.07</v>
      </c>
      <c r="G22" s="5" t="s">
        <v>1545</v>
      </c>
      <c r="H22" s="5" t="s">
        <v>1546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9D93B-BE7A-40A2-8091-3D61840FAE7B}">
  <dimension ref="A1:K21"/>
  <sheetViews>
    <sheetView workbookViewId="0">
      <selection activeCell="C6" sqref="C6:I6"/>
    </sheetView>
  </sheetViews>
  <sheetFormatPr baseColWidth="10" defaultRowHeight="15" x14ac:dyDescent="0.25"/>
  <cols>
    <col min="1" max="1" width="10.42578125" customWidth="1"/>
    <col min="2" max="2" width="28.42578125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41.85546875" bestFit="1" customWidth="1"/>
    <col min="8" max="8" width="30.28515625" bestFit="1" customWidth="1"/>
    <col min="9" max="9" width="13.425781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1547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"6943074121360"</f>
        <v>6943074121360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"P0000000000060"</f>
        <v>P0000000000060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17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7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"28/06/2025"</f>
        <v>28/06/2025</v>
      </c>
      <c r="B10" s="5" t="s">
        <v>1105</v>
      </c>
      <c r="C10" s="5">
        <v>0</v>
      </c>
      <c r="D10" s="5">
        <v>1</v>
      </c>
      <c r="E10" s="5">
        <v>16</v>
      </c>
      <c r="F10" s="5">
        <v>25.42</v>
      </c>
      <c r="G10" s="5" t="s">
        <v>1534</v>
      </c>
      <c r="H10" s="5" t="s">
        <v>1535</v>
      </c>
    </row>
    <row r="11" spans="1:11" ht="27" x14ac:dyDescent="0.25">
      <c r="A11" s="5" t="str">
        <f>"30/06/2025"</f>
        <v>30/06/2025</v>
      </c>
      <c r="B11" s="5" t="s">
        <v>1108</v>
      </c>
      <c r="C11" s="5">
        <v>0</v>
      </c>
      <c r="D11" s="5">
        <v>1</v>
      </c>
      <c r="E11" s="5">
        <v>15</v>
      </c>
      <c r="F11" s="5">
        <v>25.42</v>
      </c>
      <c r="G11" s="5" t="s">
        <v>1534</v>
      </c>
      <c r="H11" s="5" t="s">
        <v>1536</v>
      </c>
    </row>
    <row r="12" spans="1:11" ht="27" x14ac:dyDescent="0.25">
      <c r="A12" s="5" t="str">
        <f>"02/07/2025"</f>
        <v>02/07/2025</v>
      </c>
      <c r="B12" s="5" t="s">
        <v>1108</v>
      </c>
      <c r="C12" s="5">
        <v>0</v>
      </c>
      <c r="D12" s="5">
        <v>1</v>
      </c>
      <c r="E12" s="5">
        <v>14</v>
      </c>
      <c r="F12" s="5">
        <v>25.42</v>
      </c>
      <c r="G12" s="5" t="s">
        <v>1534</v>
      </c>
      <c r="H12" s="5" t="s">
        <v>1537</v>
      </c>
    </row>
    <row r="13" spans="1:11" ht="27" x14ac:dyDescent="0.25">
      <c r="A13" s="5" t="str">
        <f>"04/07/2025"</f>
        <v>04/07/2025</v>
      </c>
      <c r="B13" s="5" t="s">
        <v>1105</v>
      </c>
      <c r="C13" s="5">
        <v>0</v>
      </c>
      <c r="D13" s="5">
        <v>1</v>
      </c>
      <c r="E13" s="5">
        <v>13</v>
      </c>
      <c r="F13" s="5">
        <v>25.42</v>
      </c>
      <c r="G13" s="5" t="s">
        <v>1534</v>
      </c>
      <c r="H13" s="5" t="s">
        <v>1538</v>
      </c>
    </row>
    <row r="14" spans="1:11" ht="27" x14ac:dyDescent="0.25">
      <c r="A14" s="5" t="str">
        <f>"09/07/2025"</f>
        <v>09/07/2025</v>
      </c>
      <c r="B14" s="5" t="s">
        <v>1114</v>
      </c>
      <c r="C14" s="5">
        <v>0</v>
      </c>
      <c r="D14" s="5">
        <v>1</v>
      </c>
      <c r="E14" s="5">
        <v>12</v>
      </c>
      <c r="F14" s="5">
        <v>25.42</v>
      </c>
      <c r="G14" s="5" t="s">
        <v>1534</v>
      </c>
      <c r="H14" s="5" t="s">
        <v>1539</v>
      </c>
    </row>
    <row r="15" spans="1:11" ht="27" x14ac:dyDescent="0.25">
      <c r="A15" s="5" t="str">
        <f>"11/07/2025"</f>
        <v>11/07/2025</v>
      </c>
      <c r="B15" s="5" t="s">
        <v>1170</v>
      </c>
      <c r="C15" s="5">
        <v>0</v>
      </c>
      <c r="D15" s="5">
        <v>1</v>
      </c>
      <c r="E15" s="5">
        <v>11</v>
      </c>
      <c r="F15" s="5">
        <v>25.42</v>
      </c>
      <c r="G15" s="5" t="s">
        <v>1116</v>
      </c>
      <c r="H15" s="5" t="s">
        <v>1540</v>
      </c>
    </row>
    <row r="16" spans="1:11" ht="27" x14ac:dyDescent="0.25">
      <c r="A16" s="5" t="str">
        <f>"12/07/2025"</f>
        <v>12/07/2025</v>
      </c>
      <c r="B16" s="5" t="s">
        <v>1102</v>
      </c>
      <c r="C16" s="5">
        <v>0</v>
      </c>
      <c r="D16" s="5">
        <v>1</v>
      </c>
      <c r="E16" s="5">
        <v>10</v>
      </c>
      <c r="F16" s="5">
        <v>25.42</v>
      </c>
      <c r="G16" s="5" t="s">
        <v>1116</v>
      </c>
      <c r="H16" s="5" t="s">
        <v>1541</v>
      </c>
    </row>
    <row r="17" spans="1:8" ht="27" x14ac:dyDescent="0.25">
      <c r="A17" s="5" t="str">
        <f>"12/07/2025"</f>
        <v>12/07/2025</v>
      </c>
      <c r="B17" s="5" t="s">
        <v>1102</v>
      </c>
      <c r="C17" s="5">
        <v>0</v>
      </c>
      <c r="D17" s="5">
        <v>1</v>
      </c>
      <c r="E17" s="5">
        <v>9</v>
      </c>
      <c r="F17" s="5">
        <v>25.42</v>
      </c>
      <c r="G17" s="5" t="s">
        <v>1116</v>
      </c>
      <c r="H17" s="5" t="s">
        <v>1541</v>
      </c>
    </row>
    <row r="18" spans="1:8" ht="27" x14ac:dyDescent="0.25">
      <c r="A18" s="5" t="str">
        <f>"14/07/2025"</f>
        <v>14/07/2025</v>
      </c>
      <c r="B18" s="5" t="s">
        <v>1108</v>
      </c>
      <c r="C18" s="5">
        <v>0</v>
      </c>
      <c r="D18" s="5">
        <v>1</v>
      </c>
      <c r="E18" s="5">
        <v>8</v>
      </c>
      <c r="F18" s="5">
        <v>25.42</v>
      </c>
      <c r="G18" s="5" t="s">
        <v>1116</v>
      </c>
      <c r="H18" s="5" t="s">
        <v>1542</v>
      </c>
    </row>
    <row r="19" spans="1:8" ht="27" x14ac:dyDescent="0.25">
      <c r="A19" s="5" t="str">
        <f>"14/07/2025"</f>
        <v>14/07/2025</v>
      </c>
      <c r="B19" s="5" t="s">
        <v>1108</v>
      </c>
      <c r="C19" s="5">
        <v>0</v>
      </c>
      <c r="D19" s="5">
        <v>1</v>
      </c>
      <c r="E19" s="5">
        <v>7</v>
      </c>
      <c r="F19" s="5">
        <v>25.42</v>
      </c>
      <c r="G19" s="5" t="s">
        <v>1116</v>
      </c>
      <c r="H19" s="5" t="s">
        <v>1544</v>
      </c>
    </row>
    <row r="20" spans="1:8" ht="27" x14ac:dyDescent="0.25">
      <c r="A20" s="5" t="str">
        <f>"14/07/2025"</f>
        <v>14/07/2025</v>
      </c>
      <c r="B20" s="5" t="s">
        <v>1108</v>
      </c>
      <c r="C20" s="5">
        <v>1</v>
      </c>
      <c r="D20" s="5">
        <v>0</v>
      </c>
      <c r="E20" s="5">
        <v>8</v>
      </c>
      <c r="F20" s="5">
        <v>25.42</v>
      </c>
      <c r="G20" s="5" t="s">
        <v>1545</v>
      </c>
      <c r="H20" s="6"/>
    </row>
    <row r="21" spans="1:8" ht="27" x14ac:dyDescent="0.25">
      <c r="A21" s="5" t="str">
        <f>"15/07/2025"</f>
        <v>15/07/2025</v>
      </c>
      <c r="B21" s="5" t="s">
        <v>1114</v>
      </c>
      <c r="C21" s="5">
        <v>0</v>
      </c>
      <c r="D21" s="5">
        <v>1</v>
      </c>
      <c r="E21" s="5">
        <v>7</v>
      </c>
      <c r="F21" s="5">
        <v>25.42</v>
      </c>
      <c r="G21" s="5" t="s">
        <v>1545</v>
      </c>
      <c r="H21" s="5" t="s">
        <v>1546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A1125-89A2-4CDB-A925-954D96E95014}">
  <dimension ref="A1:K18"/>
  <sheetViews>
    <sheetView workbookViewId="0">
      <selection activeCell="G13" sqref="G13"/>
    </sheetView>
  </sheetViews>
  <sheetFormatPr baseColWidth="10" defaultColWidth="10.5703125" defaultRowHeight="15" x14ac:dyDescent="0.25"/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439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"6940074126433"</f>
        <v>6940074126433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"P0000000000062"</f>
        <v>P0000000000062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13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4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"28/06/2025"</f>
        <v>28/06/2025</v>
      </c>
      <c r="B10" s="5" t="s">
        <v>1105</v>
      </c>
      <c r="C10" s="5">
        <v>0</v>
      </c>
      <c r="D10" s="5">
        <v>1</v>
      </c>
      <c r="E10" s="5">
        <v>12</v>
      </c>
      <c r="F10" s="5">
        <v>25.42</v>
      </c>
      <c r="G10" s="5" t="s">
        <v>1548</v>
      </c>
      <c r="H10" s="5" t="s">
        <v>1535</v>
      </c>
    </row>
    <row r="11" spans="1:11" ht="27" x14ac:dyDescent="0.25">
      <c r="A11" s="5" t="str">
        <f>"04/07/2025"</f>
        <v>04/07/2025</v>
      </c>
      <c r="B11" s="5" t="s">
        <v>1105</v>
      </c>
      <c r="C11" s="5">
        <v>0</v>
      </c>
      <c r="D11" s="5">
        <v>1</v>
      </c>
      <c r="E11" s="5">
        <v>11</v>
      </c>
      <c r="F11" s="5">
        <v>25.42</v>
      </c>
      <c r="G11" s="5" t="s">
        <v>1549</v>
      </c>
      <c r="H11" s="5" t="s">
        <v>1538</v>
      </c>
    </row>
    <row r="12" spans="1:11" ht="27" x14ac:dyDescent="0.25">
      <c r="A12" s="5" t="str">
        <f>"09/07/2025"</f>
        <v>09/07/2025</v>
      </c>
      <c r="B12" s="5" t="s">
        <v>1114</v>
      </c>
      <c r="C12" s="5">
        <v>0</v>
      </c>
      <c r="D12" s="5">
        <v>1</v>
      </c>
      <c r="E12" s="5">
        <v>10</v>
      </c>
      <c r="F12" s="5">
        <v>25.42</v>
      </c>
      <c r="G12" s="5" t="s">
        <v>1549</v>
      </c>
      <c r="H12" s="5" t="s">
        <v>1539</v>
      </c>
    </row>
    <row r="13" spans="1:11" ht="27" x14ac:dyDescent="0.25">
      <c r="A13" s="5" t="str">
        <f>"11/07/2025"</f>
        <v>11/07/2025</v>
      </c>
      <c r="B13" s="5" t="s">
        <v>1105</v>
      </c>
      <c r="C13" s="5">
        <v>0</v>
      </c>
      <c r="D13" s="5">
        <v>1</v>
      </c>
      <c r="E13" s="5">
        <v>9</v>
      </c>
      <c r="F13" s="5">
        <v>25.42</v>
      </c>
      <c r="G13" s="5" t="s">
        <v>1549</v>
      </c>
      <c r="H13" s="5" t="s">
        <v>1208</v>
      </c>
    </row>
    <row r="14" spans="1:11" ht="27" x14ac:dyDescent="0.25">
      <c r="A14" s="5" t="str">
        <f>"11/07/2025"</f>
        <v>11/07/2025</v>
      </c>
      <c r="B14" s="5" t="s">
        <v>1170</v>
      </c>
      <c r="C14" s="5">
        <v>0</v>
      </c>
      <c r="D14" s="5">
        <v>1</v>
      </c>
      <c r="E14" s="5">
        <v>8</v>
      </c>
      <c r="F14" s="5">
        <v>25.42</v>
      </c>
      <c r="G14" s="5" t="s">
        <v>1549</v>
      </c>
      <c r="H14" s="5" t="s">
        <v>1540</v>
      </c>
    </row>
    <row r="15" spans="1:11" ht="27" x14ac:dyDescent="0.25">
      <c r="A15" s="5" t="str">
        <f>"12/07/2025"</f>
        <v>12/07/2025</v>
      </c>
      <c r="B15" s="5" t="s">
        <v>1102</v>
      </c>
      <c r="C15" s="5">
        <v>0</v>
      </c>
      <c r="D15" s="5">
        <v>1</v>
      </c>
      <c r="E15" s="5">
        <v>7</v>
      </c>
      <c r="F15" s="5">
        <v>25.42</v>
      </c>
      <c r="G15" s="5" t="s">
        <v>1549</v>
      </c>
      <c r="H15" s="5" t="s">
        <v>1541</v>
      </c>
    </row>
    <row r="16" spans="1:11" ht="27" x14ac:dyDescent="0.25">
      <c r="A16" s="5" t="str">
        <f>"12/07/2025"</f>
        <v>12/07/2025</v>
      </c>
      <c r="B16" s="5" t="s">
        <v>1102</v>
      </c>
      <c r="C16" s="5">
        <v>0</v>
      </c>
      <c r="D16" s="5">
        <v>1</v>
      </c>
      <c r="E16" s="5">
        <v>6</v>
      </c>
      <c r="F16" s="5">
        <v>25.42</v>
      </c>
      <c r="G16" s="5" t="s">
        <v>1549</v>
      </c>
      <c r="H16" s="5" t="s">
        <v>1541</v>
      </c>
    </row>
    <row r="17" spans="1:8" ht="27" x14ac:dyDescent="0.25">
      <c r="A17" s="5" t="str">
        <f>"15/07/2025"</f>
        <v>15/07/2025</v>
      </c>
      <c r="B17" s="5" t="s">
        <v>1114</v>
      </c>
      <c r="C17" s="5">
        <v>0</v>
      </c>
      <c r="D17" s="5">
        <v>1</v>
      </c>
      <c r="E17" s="5">
        <v>5</v>
      </c>
      <c r="F17" s="5">
        <v>25.42</v>
      </c>
      <c r="G17" s="5" t="s">
        <v>1549</v>
      </c>
      <c r="H17" s="5" t="s">
        <v>1546</v>
      </c>
    </row>
    <row r="18" spans="1:8" ht="27" x14ac:dyDescent="0.25">
      <c r="A18" s="5" t="str">
        <f>"16/07/2025"</f>
        <v>16/07/2025</v>
      </c>
      <c r="B18" s="5" t="s">
        <v>1114</v>
      </c>
      <c r="C18" s="5">
        <v>0</v>
      </c>
      <c r="D18" s="5">
        <v>1</v>
      </c>
      <c r="E18" s="5">
        <v>4</v>
      </c>
      <c r="F18" s="5">
        <v>25.42</v>
      </c>
      <c r="G18" s="5" t="s">
        <v>1549</v>
      </c>
      <c r="H18" s="5" t="s">
        <v>1550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C550-D67F-4A01-8B91-B4A6A80A3D45}">
  <dimension ref="A1:K17"/>
  <sheetViews>
    <sheetView workbookViewId="0">
      <selection activeCell="H10" sqref="H10"/>
    </sheetView>
  </sheetViews>
  <sheetFormatPr baseColWidth="10" defaultRowHeight="15" x14ac:dyDescent="0.25"/>
  <cols>
    <col min="1" max="1" width="11.85546875" customWidth="1"/>
    <col min="2" max="2" width="20.5703125" customWidth="1"/>
    <col min="3" max="3" width="9" customWidth="1"/>
    <col min="4" max="4" width="7.5703125" customWidth="1"/>
    <col min="5" max="5" width="7" customWidth="1"/>
    <col min="6" max="6" width="21" customWidth="1"/>
    <col min="7" max="7" width="28.7109375" customWidth="1"/>
    <col min="8" max="8" width="23" customWidth="1"/>
    <col min="9" max="9" width="17.7109375" customWidth="1"/>
    <col min="10" max="10" width="18.5703125" customWidth="1"/>
    <col min="11" max="11" width="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63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"3474637155025"</f>
        <v>3474637155025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"3474637155025"</f>
        <v>3474637155025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12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4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"24/06/2025"</f>
        <v>24/06/2025</v>
      </c>
      <c r="B10" s="5" t="s">
        <v>1102</v>
      </c>
      <c r="C10" s="5">
        <v>0</v>
      </c>
      <c r="D10" s="5">
        <v>1</v>
      </c>
      <c r="E10" s="5">
        <v>11</v>
      </c>
      <c r="F10" s="5">
        <v>91</v>
      </c>
      <c r="G10" s="5" t="s">
        <v>1551</v>
      </c>
      <c r="H10" s="5" t="s">
        <v>1552</v>
      </c>
    </row>
    <row r="11" spans="1:11" ht="27" x14ac:dyDescent="0.25">
      <c r="A11" s="5" t="str">
        <f>"29/06/2025"</f>
        <v>29/06/2025</v>
      </c>
      <c r="B11" s="5" t="s">
        <v>1102</v>
      </c>
      <c r="C11" s="5">
        <v>0</v>
      </c>
      <c r="D11" s="5">
        <v>1</v>
      </c>
      <c r="E11" s="5">
        <v>10</v>
      </c>
      <c r="F11" s="5">
        <v>91</v>
      </c>
      <c r="G11" s="5" t="s">
        <v>1551</v>
      </c>
      <c r="H11" s="5" t="s">
        <v>1200</v>
      </c>
    </row>
    <row r="12" spans="1:11" ht="27" x14ac:dyDescent="0.25">
      <c r="A12" s="5" t="str">
        <f>"01/07/2025"</f>
        <v>01/07/2025</v>
      </c>
      <c r="B12" s="5" t="s">
        <v>1129</v>
      </c>
      <c r="C12" s="5">
        <v>0</v>
      </c>
      <c r="D12" s="5">
        <v>1</v>
      </c>
      <c r="E12" s="5">
        <v>9</v>
      </c>
      <c r="F12" s="5">
        <v>91</v>
      </c>
      <c r="G12" s="5" t="s">
        <v>1551</v>
      </c>
      <c r="H12" s="5" t="s">
        <v>1553</v>
      </c>
    </row>
    <row r="13" spans="1:11" ht="27" x14ac:dyDescent="0.25">
      <c r="A13" s="5" t="str">
        <f>"02/07/2025"</f>
        <v>02/07/2025</v>
      </c>
      <c r="B13" s="5" t="s">
        <v>1129</v>
      </c>
      <c r="C13" s="5">
        <v>0</v>
      </c>
      <c r="D13" s="5">
        <v>1</v>
      </c>
      <c r="E13" s="5">
        <v>8</v>
      </c>
      <c r="F13" s="5">
        <v>91</v>
      </c>
      <c r="G13" s="5" t="s">
        <v>1551</v>
      </c>
      <c r="H13" s="5" t="s">
        <v>1554</v>
      </c>
    </row>
    <row r="14" spans="1:11" ht="27" x14ac:dyDescent="0.25">
      <c r="A14" s="5" t="str">
        <f>"03/07/2025"</f>
        <v>03/07/2025</v>
      </c>
      <c r="B14" s="5" t="s">
        <v>1102</v>
      </c>
      <c r="C14" s="5">
        <v>0</v>
      </c>
      <c r="D14" s="5">
        <v>1</v>
      </c>
      <c r="E14" s="5">
        <v>7</v>
      </c>
      <c r="F14" s="5">
        <v>88.27</v>
      </c>
      <c r="G14" s="5" t="s">
        <v>1555</v>
      </c>
      <c r="H14" s="5" t="s">
        <v>1556</v>
      </c>
    </row>
    <row r="15" spans="1:11" ht="27" x14ac:dyDescent="0.25">
      <c r="A15" s="5" t="str">
        <f>"06/07/2025"</f>
        <v>06/07/2025</v>
      </c>
      <c r="B15" s="5" t="s">
        <v>1102</v>
      </c>
      <c r="C15" s="5">
        <v>0</v>
      </c>
      <c r="D15" s="5">
        <v>1</v>
      </c>
      <c r="E15" s="5">
        <v>6</v>
      </c>
      <c r="F15" s="5">
        <v>88.27</v>
      </c>
      <c r="G15" s="5" t="s">
        <v>1555</v>
      </c>
      <c r="H15" s="5" t="s">
        <v>1557</v>
      </c>
    </row>
    <row r="16" spans="1:11" ht="27" x14ac:dyDescent="0.25">
      <c r="A16" s="5" t="str">
        <f>"10/07/2025"</f>
        <v>10/07/2025</v>
      </c>
      <c r="B16" s="5" t="s">
        <v>1114</v>
      </c>
      <c r="C16" s="5">
        <v>0</v>
      </c>
      <c r="D16" s="5">
        <v>1</v>
      </c>
      <c r="E16" s="5">
        <v>5</v>
      </c>
      <c r="F16" s="5">
        <v>88.27</v>
      </c>
      <c r="G16" s="5" t="s">
        <v>1555</v>
      </c>
      <c r="H16" s="5" t="s">
        <v>1558</v>
      </c>
    </row>
    <row r="17" spans="1:8" ht="27" x14ac:dyDescent="0.25">
      <c r="A17" s="5" t="str">
        <f>"20/07/2025"</f>
        <v>20/07/2025</v>
      </c>
      <c r="B17" s="5" t="s">
        <v>1102</v>
      </c>
      <c r="C17" s="5">
        <v>0</v>
      </c>
      <c r="D17" s="5">
        <v>1</v>
      </c>
      <c r="E17" s="5">
        <v>4</v>
      </c>
      <c r="F17" s="5">
        <v>88.27</v>
      </c>
      <c r="G17" s="5" t="s">
        <v>1555</v>
      </c>
      <c r="H17" s="5" t="s">
        <v>1559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80E5C-3021-487B-8FAE-E156D7B81AFC}">
  <dimension ref="A1:K15"/>
  <sheetViews>
    <sheetView workbookViewId="0">
      <selection activeCell="C6" sqref="C6:I6"/>
    </sheetView>
  </sheetViews>
  <sheetFormatPr baseColWidth="10" defaultRowHeight="15" x14ac:dyDescent="0.25"/>
  <cols>
    <col min="1" max="1" width="11" customWidth="1"/>
    <col min="2" max="2" width="34.7109375" customWidth="1"/>
    <col min="3" max="3" width="8.28515625" customWidth="1"/>
    <col min="4" max="4" width="6.85546875" customWidth="1"/>
    <col min="5" max="5" width="6.42578125" customWidth="1"/>
    <col min="6" max="6" width="19.28515625" customWidth="1"/>
    <col min="7" max="7" width="26.5703125" customWidth="1"/>
    <col min="8" max="8" width="21.28515625" customWidth="1"/>
    <col min="9" max="9" width="16.42578125" customWidth="1"/>
    <col min="10" max="10" width="17.140625" customWidth="1"/>
    <col min="11" max="11" width="23.140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65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"3474636954766"</f>
        <v>3474636954766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"3474636954766"</f>
        <v>3474636954766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8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1105</v>
      </c>
      <c r="C10" s="5">
        <v>0</v>
      </c>
      <c r="D10" s="5">
        <v>1</v>
      </c>
      <c r="E10" s="5">
        <v>7</v>
      </c>
      <c r="F10" s="5">
        <v>70</v>
      </c>
      <c r="G10" s="5" t="s">
        <v>1560</v>
      </c>
      <c r="H10" s="5" t="s">
        <v>1561</v>
      </c>
    </row>
    <row r="11" spans="1:11" ht="27" x14ac:dyDescent="0.25">
      <c r="A11" s="5" t="str">
        <f>"23/06/2025"</f>
        <v>23/06/2025</v>
      </c>
      <c r="B11" s="5" t="s">
        <v>1105</v>
      </c>
      <c r="C11" s="5">
        <v>0</v>
      </c>
      <c r="D11" s="5">
        <v>1</v>
      </c>
      <c r="E11" s="5">
        <v>6</v>
      </c>
      <c r="F11" s="5">
        <v>70</v>
      </c>
      <c r="G11" s="5" t="s">
        <v>1560</v>
      </c>
      <c r="H11" s="5" t="s">
        <v>1562</v>
      </c>
    </row>
    <row r="12" spans="1:11" ht="27" x14ac:dyDescent="0.25">
      <c r="A12" s="5" t="str">
        <f>"28/06/2025"</f>
        <v>28/06/2025</v>
      </c>
      <c r="B12" s="5" t="s">
        <v>1102</v>
      </c>
      <c r="C12" s="5">
        <v>0</v>
      </c>
      <c r="D12" s="5">
        <v>1</v>
      </c>
      <c r="E12" s="5">
        <v>5</v>
      </c>
      <c r="F12" s="5">
        <v>70</v>
      </c>
      <c r="G12" s="5" t="s">
        <v>1560</v>
      </c>
      <c r="H12" s="5" t="s">
        <v>1563</v>
      </c>
    </row>
    <row r="13" spans="1:11" ht="27" x14ac:dyDescent="0.25">
      <c r="A13" s="5" t="str">
        <f>"03/07/2025"</f>
        <v>03/07/2025</v>
      </c>
      <c r="B13" s="5" t="s">
        <v>1114</v>
      </c>
      <c r="C13" s="5">
        <v>0</v>
      </c>
      <c r="D13" s="5">
        <v>1</v>
      </c>
      <c r="E13" s="5">
        <v>4</v>
      </c>
      <c r="F13" s="5">
        <v>70</v>
      </c>
      <c r="G13" s="5" t="s">
        <v>1462</v>
      </c>
      <c r="H13" s="5" t="s">
        <v>1564</v>
      </c>
    </row>
    <row r="14" spans="1:11" ht="27" x14ac:dyDescent="0.25">
      <c r="A14" s="5" t="str">
        <f>"03/07/2025"</f>
        <v>03/07/2025</v>
      </c>
      <c r="B14" s="5" t="s">
        <v>1105</v>
      </c>
      <c r="C14" s="5">
        <v>0</v>
      </c>
      <c r="D14" s="5">
        <v>1</v>
      </c>
      <c r="E14" s="5">
        <v>3</v>
      </c>
      <c r="F14" s="5">
        <v>70</v>
      </c>
      <c r="G14" s="5" t="s">
        <v>1462</v>
      </c>
      <c r="H14" s="5" t="s">
        <v>1565</v>
      </c>
    </row>
    <row r="15" spans="1:11" ht="27" x14ac:dyDescent="0.25">
      <c r="A15" s="5" t="str">
        <f>"17/07/2025"</f>
        <v>17/07/2025</v>
      </c>
      <c r="B15" s="5" t="s">
        <v>1114</v>
      </c>
      <c r="C15" s="5">
        <v>0</v>
      </c>
      <c r="D15" s="5">
        <v>2</v>
      </c>
      <c r="E15" s="5">
        <v>1</v>
      </c>
      <c r="F15" s="5">
        <v>70</v>
      </c>
      <c r="G15" s="5" t="s">
        <v>1462</v>
      </c>
      <c r="H15" s="5" t="s">
        <v>1566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A9BF47-086C-411C-8E5C-18B3180091D8}">
  <dimension ref="A1:K28"/>
  <sheetViews>
    <sheetView workbookViewId="0">
      <selection activeCell="L14" sqref="L14"/>
    </sheetView>
  </sheetViews>
  <sheetFormatPr baseColWidth="10" defaultColWidth="10.140625" defaultRowHeight="15" x14ac:dyDescent="0.25"/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67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"7290113142947"</f>
        <v>7290113142947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"7290113142947"</f>
        <v>7290113142947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5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6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"25/06/2025"</f>
        <v>25/06/2025</v>
      </c>
      <c r="B10" s="5" t="s">
        <v>1114</v>
      </c>
      <c r="C10" s="5">
        <v>3</v>
      </c>
      <c r="D10" s="5">
        <v>0</v>
      </c>
      <c r="E10" s="5">
        <v>8</v>
      </c>
      <c r="F10" s="5">
        <v>65.61</v>
      </c>
      <c r="G10" s="5" t="s">
        <v>1567</v>
      </c>
      <c r="H10" s="6"/>
    </row>
    <row r="11" spans="1:11" ht="27" x14ac:dyDescent="0.25">
      <c r="A11" s="5" t="str">
        <f>"25/06/2025"</f>
        <v>25/06/2025</v>
      </c>
      <c r="B11" s="5" t="s">
        <v>1114</v>
      </c>
      <c r="C11" s="5">
        <v>0</v>
      </c>
      <c r="D11" s="5">
        <v>3</v>
      </c>
      <c r="E11" s="5">
        <v>5</v>
      </c>
      <c r="F11" s="5">
        <v>65.61</v>
      </c>
      <c r="G11" s="5" t="s">
        <v>1567</v>
      </c>
      <c r="H11" s="5" t="s">
        <v>1568</v>
      </c>
    </row>
    <row r="12" spans="1:11" ht="27" x14ac:dyDescent="0.25">
      <c r="A12" s="5" t="str">
        <f>"25/06/2025"</f>
        <v>25/06/2025</v>
      </c>
      <c r="B12" s="5" t="s">
        <v>1114</v>
      </c>
      <c r="C12" s="5">
        <v>3</v>
      </c>
      <c r="D12" s="5">
        <v>0</v>
      </c>
      <c r="E12" s="5">
        <v>8</v>
      </c>
      <c r="F12" s="5">
        <v>61.78</v>
      </c>
      <c r="G12" s="5" t="s">
        <v>1567</v>
      </c>
      <c r="H12" s="6"/>
    </row>
    <row r="13" spans="1:11" ht="27" x14ac:dyDescent="0.25">
      <c r="A13" s="5" t="str">
        <f>"25/06/2025"</f>
        <v>25/06/2025</v>
      </c>
      <c r="B13" s="5" t="s">
        <v>1114</v>
      </c>
      <c r="C13" s="5">
        <v>0</v>
      </c>
      <c r="D13" s="5">
        <v>3</v>
      </c>
      <c r="E13" s="5">
        <v>5</v>
      </c>
      <c r="F13" s="5">
        <v>41.19</v>
      </c>
      <c r="G13" s="5" t="s">
        <v>1569</v>
      </c>
      <c r="H13" s="5" t="s">
        <v>1570</v>
      </c>
      <c r="I13" s="5" t="s">
        <v>1250</v>
      </c>
      <c r="J13" s="5" t="s">
        <v>1251</v>
      </c>
      <c r="K13" s="5" t="s">
        <v>1354</v>
      </c>
    </row>
    <row r="14" spans="1:11" ht="27" x14ac:dyDescent="0.25">
      <c r="A14" s="5" t="str">
        <f>"28/06/2025"</f>
        <v>28/06/2025</v>
      </c>
      <c r="B14" s="5" t="s">
        <v>1114</v>
      </c>
      <c r="C14" s="5">
        <v>1</v>
      </c>
      <c r="D14" s="5">
        <v>0</v>
      </c>
      <c r="E14" s="5">
        <v>6</v>
      </c>
      <c r="F14" s="5">
        <v>69.739999999999995</v>
      </c>
      <c r="G14" s="5" t="s">
        <v>1571</v>
      </c>
      <c r="H14" s="6"/>
    </row>
    <row r="15" spans="1:11" ht="27" x14ac:dyDescent="0.25">
      <c r="A15" s="5" t="str">
        <f>"28/06/2025"</f>
        <v>28/06/2025</v>
      </c>
      <c r="B15" s="5" t="s">
        <v>1114</v>
      </c>
      <c r="C15" s="5">
        <v>0</v>
      </c>
      <c r="D15" s="5">
        <v>1</v>
      </c>
      <c r="E15" s="5">
        <v>5</v>
      </c>
      <c r="F15" s="5">
        <v>69.739999999999995</v>
      </c>
      <c r="G15" s="5" t="s">
        <v>1571</v>
      </c>
      <c r="H15" s="5" t="s">
        <v>1572</v>
      </c>
    </row>
    <row r="16" spans="1:11" ht="27" x14ac:dyDescent="0.25">
      <c r="A16" s="5" t="str">
        <f>"28/06/2025"</f>
        <v>28/06/2025</v>
      </c>
      <c r="B16" s="5" t="s">
        <v>1114</v>
      </c>
      <c r="C16" s="5">
        <v>1</v>
      </c>
      <c r="D16" s="5">
        <v>0</v>
      </c>
      <c r="E16" s="5">
        <v>6</v>
      </c>
      <c r="F16" s="5">
        <v>72.069999999999993</v>
      </c>
      <c r="G16" s="5" t="s">
        <v>1571</v>
      </c>
      <c r="H16" s="6"/>
    </row>
    <row r="17" spans="1:8" ht="27" x14ac:dyDescent="0.25">
      <c r="A17" s="5" t="str">
        <f>"07/07/2025"</f>
        <v>07/07/2025</v>
      </c>
      <c r="B17" s="5" t="s">
        <v>1102</v>
      </c>
      <c r="C17" s="5">
        <v>0</v>
      </c>
      <c r="D17" s="5">
        <v>1</v>
      </c>
      <c r="E17" s="5">
        <v>5</v>
      </c>
      <c r="F17" s="5">
        <v>61.78</v>
      </c>
      <c r="G17" s="5" t="s">
        <v>1567</v>
      </c>
      <c r="H17" s="5" t="s">
        <v>1573</v>
      </c>
    </row>
    <row r="18" spans="1:8" ht="27" x14ac:dyDescent="0.25">
      <c r="A18" s="5" t="str">
        <f>"08/07/2025"</f>
        <v>08/07/2025</v>
      </c>
      <c r="B18" s="5" t="s">
        <v>1102</v>
      </c>
      <c r="C18" s="5">
        <v>0</v>
      </c>
      <c r="D18" s="5">
        <v>1</v>
      </c>
      <c r="E18" s="5">
        <v>4</v>
      </c>
      <c r="F18" s="5">
        <v>72.069999999999993</v>
      </c>
      <c r="G18" s="5" t="s">
        <v>1571</v>
      </c>
      <c r="H18" s="5" t="s">
        <v>1574</v>
      </c>
    </row>
    <row r="19" spans="1:8" ht="27" x14ac:dyDescent="0.25">
      <c r="A19" s="5" t="str">
        <f>"09/07/2025"</f>
        <v>09/07/2025</v>
      </c>
      <c r="B19" s="5" t="s">
        <v>1129</v>
      </c>
      <c r="C19" s="5">
        <v>0</v>
      </c>
      <c r="D19" s="5">
        <v>1</v>
      </c>
      <c r="E19" s="5">
        <v>3</v>
      </c>
      <c r="F19" s="5">
        <v>68.64</v>
      </c>
      <c r="G19" s="5" t="s">
        <v>1575</v>
      </c>
      <c r="H19" s="5" t="s">
        <v>1576</v>
      </c>
    </row>
    <row r="20" spans="1:8" ht="27" x14ac:dyDescent="0.25">
      <c r="A20" s="5" t="str">
        <f>"09/07/2025"</f>
        <v>09/07/2025</v>
      </c>
      <c r="B20" s="5" t="s">
        <v>1108</v>
      </c>
      <c r="C20" s="5">
        <v>0</v>
      </c>
      <c r="D20" s="5">
        <v>1</v>
      </c>
      <c r="E20" s="5">
        <v>2</v>
      </c>
      <c r="F20" s="5">
        <v>68.64</v>
      </c>
      <c r="G20" s="5" t="s">
        <v>1575</v>
      </c>
      <c r="H20" s="5" t="s">
        <v>1577</v>
      </c>
    </row>
    <row r="21" spans="1:8" ht="27" x14ac:dyDescent="0.25">
      <c r="A21" s="5" t="str">
        <f>"10/07/2025"</f>
        <v>10/07/2025</v>
      </c>
      <c r="B21" s="5" t="s">
        <v>1114</v>
      </c>
      <c r="C21" s="5">
        <v>2</v>
      </c>
      <c r="D21" s="5">
        <v>0</v>
      </c>
      <c r="E21" s="5">
        <v>4</v>
      </c>
      <c r="F21" s="5">
        <v>72.069999999999993</v>
      </c>
      <c r="G21" s="5" t="s">
        <v>1578</v>
      </c>
      <c r="H21" s="6"/>
    </row>
    <row r="22" spans="1:8" ht="27" x14ac:dyDescent="0.25">
      <c r="A22" s="5" t="str">
        <f>"10/07/2025"</f>
        <v>10/07/2025</v>
      </c>
      <c r="B22" s="5" t="s">
        <v>1114</v>
      </c>
      <c r="C22" s="5">
        <v>0</v>
      </c>
      <c r="D22" s="5">
        <v>2</v>
      </c>
      <c r="E22" s="5">
        <v>2</v>
      </c>
      <c r="F22" s="5">
        <v>72.069999999999993</v>
      </c>
      <c r="G22" s="5" t="s">
        <v>1578</v>
      </c>
      <c r="H22" s="5" t="s">
        <v>1579</v>
      </c>
    </row>
    <row r="23" spans="1:8" ht="27" x14ac:dyDescent="0.25">
      <c r="A23" s="5" t="str">
        <f>"10/07/2025"</f>
        <v>10/07/2025</v>
      </c>
      <c r="B23" s="5" t="s">
        <v>1114</v>
      </c>
      <c r="C23" s="5">
        <v>2</v>
      </c>
      <c r="D23" s="5">
        <v>0</v>
      </c>
      <c r="E23" s="5">
        <v>4</v>
      </c>
      <c r="F23" s="5">
        <v>68.64</v>
      </c>
      <c r="G23" s="5" t="s">
        <v>1578</v>
      </c>
      <c r="H23" s="6"/>
    </row>
    <row r="24" spans="1:8" ht="27" x14ac:dyDescent="0.25">
      <c r="A24" s="5" t="str">
        <f>"13/07/2025"</f>
        <v>13/07/2025</v>
      </c>
      <c r="B24" s="5" t="s">
        <v>1102</v>
      </c>
      <c r="C24" s="5">
        <v>0</v>
      </c>
      <c r="D24" s="5">
        <v>1</v>
      </c>
      <c r="E24" s="5">
        <v>3</v>
      </c>
      <c r="F24" s="5">
        <v>68.64</v>
      </c>
      <c r="G24" s="5" t="s">
        <v>1575</v>
      </c>
      <c r="H24" s="5" t="s">
        <v>1580</v>
      </c>
    </row>
    <row r="25" spans="1:8" ht="27" x14ac:dyDescent="0.25">
      <c r="A25" s="5" t="str">
        <f>"15/07/2025"</f>
        <v>15/07/2025</v>
      </c>
      <c r="B25" s="5" t="s">
        <v>1114</v>
      </c>
      <c r="C25" s="5">
        <v>2</v>
      </c>
      <c r="D25" s="5">
        <v>0</v>
      </c>
      <c r="E25" s="5">
        <v>5</v>
      </c>
      <c r="F25" s="5">
        <v>68.64</v>
      </c>
      <c r="G25" s="5" t="s">
        <v>1581</v>
      </c>
      <c r="H25" s="6"/>
    </row>
    <row r="26" spans="1:8" ht="27" x14ac:dyDescent="0.25">
      <c r="A26" s="5" t="str">
        <f>"15/07/2025"</f>
        <v>15/07/2025</v>
      </c>
      <c r="B26" s="5" t="s">
        <v>1102</v>
      </c>
      <c r="C26" s="5">
        <v>0</v>
      </c>
      <c r="D26" s="5">
        <v>1</v>
      </c>
      <c r="E26" s="5">
        <v>4</v>
      </c>
      <c r="F26" s="5">
        <v>68.64</v>
      </c>
      <c r="G26" s="5" t="s">
        <v>1575</v>
      </c>
      <c r="H26" s="5" t="s">
        <v>1184</v>
      </c>
    </row>
    <row r="27" spans="1:8" ht="27" x14ac:dyDescent="0.25">
      <c r="A27" s="5" t="str">
        <f>"16/07/2025"</f>
        <v>16/07/2025</v>
      </c>
      <c r="B27" s="5" t="s">
        <v>1129</v>
      </c>
      <c r="C27" s="5">
        <v>0</v>
      </c>
      <c r="D27" s="5">
        <v>1</v>
      </c>
      <c r="E27" s="5">
        <v>3</v>
      </c>
      <c r="F27" s="5">
        <v>68.64</v>
      </c>
      <c r="G27" s="5" t="s">
        <v>1578</v>
      </c>
      <c r="H27" s="5" t="s">
        <v>1500</v>
      </c>
    </row>
    <row r="28" spans="1:8" ht="27" x14ac:dyDescent="0.25">
      <c r="A28" s="5" t="str">
        <f>"17/07/2025"</f>
        <v>17/07/2025</v>
      </c>
      <c r="B28" s="5" t="s">
        <v>1114</v>
      </c>
      <c r="C28" s="5">
        <v>3</v>
      </c>
      <c r="D28" s="5">
        <v>0</v>
      </c>
      <c r="E28" s="5">
        <v>6</v>
      </c>
      <c r="F28" s="5">
        <v>68.64</v>
      </c>
      <c r="G28" s="5" t="s">
        <v>1582</v>
      </c>
      <c r="H28" s="6"/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BBCED-7807-4D7A-A4F2-0809E1F9A29F}">
  <dimension ref="A1:K17"/>
  <sheetViews>
    <sheetView workbookViewId="0">
      <selection activeCell="C6" sqref="C6:I6"/>
    </sheetView>
  </sheetViews>
  <sheetFormatPr baseColWidth="10" defaultRowHeight="15" x14ac:dyDescent="0.25"/>
  <cols>
    <col min="1" max="1" width="13" customWidth="1"/>
    <col min="2" max="2" width="34.7109375" customWidth="1"/>
    <col min="3" max="3" width="8.28515625" customWidth="1"/>
    <col min="4" max="4" width="6.85546875" customWidth="1"/>
    <col min="5" max="5" width="6.42578125" customWidth="1"/>
    <col min="6" max="6" width="19.28515625" customWidth="1"/>
    <col min="7" max="7" width="26.5703125" customWidth="1"/>
    <col min="8" max="8" width="21.28515625" customWidth="1"/>
    <col min="9" max="9" width="16.42578125" customWidth="1"/>
    <col min="10" max="10" width="17.140625" customWidth="1"/>
    <col min="11" max="11" width="23.140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925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"4064665205794"</f>
        <v>4064665205794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"4064665205794"</f>
        <v>4064665205794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12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4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11</v>
      </c>
      <c r="F10" s="5">
        <v>41.2</v>
      </c>
      <c r="G10" s="5" t="s">
        <v>1583</v>
      </c>
      <c r="H10" s="5" t="s">
        <v>1584</v>
      </c>
    </row>
    <row r="11" spans="1:11" ht="27" x14ac:dyDescent="0.25">
      <c r="A11" s="5" t="str">
        <f>"20/06/2025"</f>
        <v>20/06/2025</v>
      </c>
      <c r="B11" s="5" t="s">
        <v>1102</v>
      </c>
      <c r="C11" s="5">
        <v>0</v>
      </c>
      <c r="D11" s="5">
        <v>1</v>
      </c>
      <c r="E11" s="5">
        <v>10</v>
      </c>
      <c r="F11" s="5">
        <v>41.2</v>
      </c>
      <c r="G11" s="5" t="s">
        <v>1583</v>
      </c>
      <c r="H11" s="5" t="s">
        <v>1585</v>
      </c>
    </row>
    <row r="12" spans="1:11" ht="27" x14ac:dyDescent="0.25">
      <c r="A12" s="5" t="str">
        <f>"24/06/2025"</f>
        <v>24/06/2025</v>
      </c>
      <c r="B12" s="5" t="s">
        <v>1105</v>
      </c>
      <c r="C12" s="5">
        <v>0</v>
      </c>
      <c r="D12" s="5">
        <v>1</v>
      </c>
      <c r="E12" s="5">
        <v>9</v>
      </c>
      <c r="F12" s="5">
        <v>41.2</v>
      </c>
      <c r="G12" s="5" t="s">
        <v>1583</v>
      </c>
      <c r="H12" s="5" t="s">
        <v>1586</v>
      </c>
    </row>
    <row r="13" spans="1:11" ht="27" x14ac:dyDescent="0.25">
      <c r="A13" s="5" t="str">
        <f>"02/07/2025"</f>
        <v>02/07/2025</v>
      </c>
      <c r="B13" s="5" t="s">
        <v>1105</v>
      </c>
      <c r="C13" s="5">
        <v>0</v>
      </c>
      <c r="D13" s="5">
        <v>1</v>
      </c>
      <c r="E13" s="5">
        <v>8</v>
      </c>
      <c r="F13" s="5">
        <v>41.2</v>
      </c>
      <c r="G13" s="5" t="s">
        <v>1583</v>
      </c>
      <c r="H13" s="5" t="s">
        <v>1587</v>
      </c>
    </row>
    <row r="14" spans="1:11" ht="27" x14ac:dyDescent="0.25">
      <c r="A14" s="5" t="str">
        <f>"02/07/2025"</f>
        <v>02/07/2025</v>
      </c>
      <c r="B14" s="5" t="s">
        <v>1129</v>
      </c>
      <c r="C14" s="5">
        <v>0</v>
      </c>
      <c r="D14" s="5">
        <v>1</v>
      </c>
      <c r="E14" s="5">
        <v>7</v>
      </c>
      <c r="F14" s="5">
        <v>41.2</v>
      </c>
      <c r="G14" s="5" t="s">
        <v>1583</v>
      </c>
      <c r="H14" s="5" t="s">
        <v>1588</v>
      </c>
    </row>
    <row r="15" spans="1:11" ht="27" x14ac:dyDescent="0.25">
      <c r="A15" s="5" t="str">
        <f>"08/07/2025"</f>
        <v>08/07/2025</v>
      </c>
      <c r="B15" s="5" t="s">
        <v>1102</v>
      </c>
      <c r="C15" s="5">
        <v>0</v>
      </c>
      <c r="D15" s="5">
        <v>1</v>
      </c>
      <c r="E15" s="5">
        <v>6</v>
      </c>
      <c r="F15" s="5">
        <v>41.2</v>
      </c>
      <c r="G15" s="5" t="s">
        <v>1583</v>
      </c>
      <c r="H15" s="5" t="s">
        <v>1589</v>
      </c>
    </row>
    <row r="16" spans="1:11" ht="27" x14ac:dyDescent="0.25">
      <c r="A16" s="5" t="str">
        <f>"09/07/2025"</f>
        <v>09/07/2025</v>
      </c>
      <c r="B16" s="5" t="s">
        <v>1105</v>
      </c>
      <c r="C16" s="5">
        <v>0</v>
      </c>
      <c r="D16" s="5">
        <v>1</v>
      </c>
      <c r="E16" s="5">
        <v>5</v>
      </c>
      <c r="F16" s="5">
        <v>41.2</v>
      </c>
      <c r="G16" s="5" t="s">
        <v>1583</v>
      </c>
      <c r="H16" s="5" t="s">
        <v>1590</v>
      </c>
    </row>
    <row r="17" spans="1:8" ht="27" x14ac:dyDescent="0.25">
      <c r="A17" s="5" t="str">
        <f>"10/07/2025"</f>
        <v>10/07/2025</v>
      </c>
      <c r="B17" s="5" t="s">
        <v>1114</v>
      </c>
      <c r="C17" s="5">
        <v>0</v>
      </c>
      <c r="D17" s="5">
        <v>1</v>
      </c>
      <c r="E17" s="5">
        <v>4</v>
      </c>
      <c r="F17" s="5">
        <v>41.2</v>
      </c>
      <c r="G17" s="5" t="s">
        <v>1583</v>
      </c>
      <c r="H17" s="5" t="s">
        <v>1591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A7A5E-D9E3-4B2A-ABE7-AE23DBBB54E2}">
  <dimension ref="A1:K18"/>
  <sheetViews>
    <sheetView workbookViewId="0">
      <selection activeCell="A9" sqref="A1:A1048576"/>
    </sheetView>
  </sheetViews>
  <sheetFormatPr baseColWidth="10" defaultRowHeight="15" x14ac:dyDescent="0.25"/>
  <cols>
    <col min="1" max="1" width="12.7109375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23" customWidth="1"/>
    <col min="8" max="8" width="23.42578125" customWidth="1"/>
    <col min="9" max="9" width="26.5703125" customWidth="1"/>
    <col min="10" max="10" width="14.85546875" customWidth="1"/>
    <col min="11" max="11" width="20.28515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1592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"8005610569574"</f>
        <v>8005610569574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"8005610569574"</f>
        <v>8005610569574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6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5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1105</v>
      </c>
      <c r="C10" s="5">
        <v>0</v>
      </c>
      <c r="D10" s="5">
        <v>1</v>
      </c>
      <c r="E10" s="5">
        <v>5</v>
      </c>
      <c r="F10" s="5">
        <v>46.52</v>
      </c>
      <c r="G10" s="5" t="s">
        <v>1593</v>
      </c>
      <c r="H10" s="5" t="s">
        <v>1594</v>
      </c>
    </row>
    <row r="11" spans="1:11" ht="27" x14ac:dyDescent="0.25">
      <c r="A11" s="5" t="str">
        <f>"20/06/2025"</f>
        <v>20/06/2025</v>
      </c>
      <c r="B11" s="5" t="s">
        <v>1105</v>
      </c>
      <c r="C11" s="5">
        <v>0</v>
      </c>
      <c r="D11" s="5">
        <v>1</v>
      </c>
      <c r="E11" s="5">
        <v>4</v>
      </c>
      <c r="F11" s="5">
        <v>46.52</v>
      </c>
      <c r="G11" s="5" t="s">
        <v>1593</v>
      </c>
      <c r="H11" s="5" t="s">
        <v>1595</v>
      </c>
    </row>
    <row r="12" spans="1:11" ht="27" x14ac:dyDescent="0.25">
      <c r="A12" s="5" t="str">
        <f>"20/06/2025"</f>
        <v>20/06/2025</v>
      </c>
      <c r="B12" s="5" t="s">
        <v>1114</v>
      </c>
      <c r="C12" s="5">
        <v>7</v>
      </c>
      <c r="D12" s="5">
        <v>0</v>
      </c>
      <c r="E12" s="5">
        <v>11</v>
      </c>
      <c r="F12" s="5">
        <v>48.85</v>
      </c>
      <c r="G12" s="5" t="s">
        <v>1393</v>
      </c>
      <c r="H12" s="6"/>
    </row>
    <row r="13" spans="1:11" ht="27" x14ac:dyDescent="0.25">
      <c r="A13" s="5" t="str">
        <f>"20/06/2025"</f>
        <v>20/06/2025</v>
      </c>
      <c r="B13" s="5" t="s">
        <v>1114</v>
      </c>
      <c r="C13" s="5">
        <v>0</v>
      </c>
      <c r="D13" s="5">
        <v>1</v>
      </c>
      <c r="E13" s="5">
        <v>10</v>
      </c>
      <c r="F13" s="5">
        <v>46.52</v>
      </c>
      <c r="G13" s="5" t="s">
        <v>1593</v>
      </c>
      <c r="H13" s="5" t="s">
        <v>1596</v>
      </c>
    </row>
    <row r="14" spans="1:11" ht="27" x14ac:dyDescent="0.25">
      <c r="A14" s="5" t="str">
        <f>"24/06/2025"</f>
        <v>24/06/2025</v>
      </c>
      <c r="B14" s="5" t="s">
        <v>1114</v>
      </c>
      <c r="C14" s="5">
        <v>0</v>
      </c>
      <c r="D14" s="5">
        <v>1</v>
      </c>
      <c r="E14" s="5">
        <v>9</v>
      </c>
      <c r="F14" s="5">
        <v>46.52</v>
      </c>
      <c r="G14" s="5" t="s">
        <v>1593</v>
      </c>
      <c r="H14" s="5" t="s">
        <v>1353</v>
      </c>
      <c r="I14" s="5" t="s">
        <v>1250</v>
      </c>
      <c r="J14" s="5" t="s">
        <v>1251</v>
      </c>
      <c r="K14" s="5" t="s">
        <v>1354</v>
      </c>
    </row>
    <row r="15" spans="1:11" ht="27" x14ac:dyDescent="0.25">
      <c r="A15" s="5" t="str">
        <f>"28/06/2025"</f>
        <v>28/06/2025</v>
      </c>
      <c r="B15" s="5" t="s">
        <v>1105</v>
      </c>
      <c r="C15" s="5">
        <v>0</v>
      </c>
      <c r="D15" s="5">
        <v>1</v>
      </c>
      <c r="E15" s="5">
        <v>8</v>
      </c>
      <c r="F15" s="5">
        <v>46.52</v>
      </c>
      <c r="G15" s="5" t="s">
        <v>1593</v>
      </c>
      <c r="H15" s="5" t="s">
        <v>1597</v>
      </c>
    </row>
    <row r="16" spans="1:11" ht="27" x14ac:dyDescent="0.25">
      <c r="A16" s="5" t="str">
        <f>"02/07/2025"</f>
        <v>02/07/2025</v>
      </c>
      <c r="B16" s="5" t="s">
        <v>1114</v>
      </c>
      <c r="C16" s="5">
        <v>0</v>
      </c>
      <c r="D16" s="5">
        <v>1</v>
      </c>
      <c r="E16" s="5">
        <v>7</v>
      </c>
      <c r="F16" s="5">
        <v>46.52</v>
      </c>
      <c r="G16" s="5" t="s">
        <v>1593</v>
      </c>
      <c r="H16" s="5" t="s">
        <v>1598</v>
      </c>
    </row>
    <row r="17" spans="1:8" ht="27" x14ac:dyDescent="0.25">
      <c r="A17" s="5" t="str">
        <f>"05/07/2025"</f>
        <v>05/07/2025</v>
      </c>
      <c r="B17" s="5" t="s">
        <v>1105</v>
      </c>
      <c r="C17" s="5">
        <v>0</v>
      </c>
      <c r="D17" s="5">
        <v>1</v>
      </c>
      <c r="E17" s="5">
        <v>6</v>
      </c>
      <c r="F17" s="5">
        <v>48.85</v>
      </c>
      <c r="G17" s="5" t="s">
        <v>1393</v>
      </c>
      <c r="H17" s="5" t="s">
        <v>1599</v>
      </c>
    </row>
    <row r="18" spans="1:8" ht="27" x14ac:dyDescent="0.25">
      <c r="A18" s="5" t="str">
        <f>"18/07/2025"</f>
        <v>18/07/2025</v>
      </c>
      <c r="B18" s="5" t="s">
        <v>1129</v>
      </c>
      <c r="C18" s="5">
        <v>0</v>
      </c>
      <c r="D18" s="5">
        <v>1</v>
      </c>
      <c r="E18" s="5">
        <v>5</v>
      </c>
      <c r="F18" s="5">
        <v>48.85</v>
      </c>
      <c r="G18" s="5" t="s">
        <v>1393</v>
      </c>
      <c r="H18" s="5" t="s">
        <v>1600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EA9C8-2A77-459D-A7E6-D7B48BDBB3C5}">
  <dimension ref="A1:K20"/>
  <sheetViews>
    <sheetView workbookViewId="0">
      <selection activeCell="A8" sqref="A8:I8"/>
    </sheetView>
  </sheetViews>
  <sheetFormatPr baseColWidth="10" defaultRowHeight="15" x14ac:dyDescent="0.25"/>
  <cols>
    <col min="1" max="1" width="15" customWidth="1"/>
    <col min="2" max="2" width="32.28515625" customWidth="1"/>
    <col min="3" max="3" width="7.7109375" customWidth="1"/>
    <col min="4" max="4" width="6.42578125" customWidth="1"/>
    <col min="5" max="5" width="6" customWidth="1"/>
    <col min="6" max="6" width="18" customWidth="1"/>
    <col min="7" max="7" width="38.5703125" customWidth="1"/>
    <col min="8" max="8" width="19.7109375" customWidth="1"/>
    <col min="9" max="9" width="15.28515625" customWidth="1"/>
    <col min="10" max="10" width="15.85546875" customWidth="1"/>
    <col min="11" max="11" width="21.57031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255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"615908433548"</f>
        <v>615908433548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"615908433548"</f>
        <v>615908433548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4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5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3</v>
      </c>
      <c r="F10" s="5">
        <v>50.84</v>
      </c>
      <c r="G10" s="5" t="s">
        <v>1459</v>
      </c>
      <c r="H10" s="5" t="s">
        <v>1601</v>
      </c>
    </row>
    <row r="11" spans="1:11" ht="27" x14ac:dyDescent="0.25">
      <c r="A11" s="5" t="str">
        <f>"20/06/2025"</f>
        <v>20/06/2025</v>
      </c>
      <c r="B11" s="5" t="s">
        <v>1114</v>
      </c>
      <c r="C11" s="5">
        <v>12</v>
      </c>
      <c r="D11" s="5">
        <v>0</v>
      </c>
      <c r="E11" s="5">
        <v>15</v>
      </c>
      <c r="F11" s="5">
        <v>42</v>
      </c>
      <c r="G11" s="5" t="s">
        <v>1602</v>
      </c>
      <c r="H11" s="6"/>
    </row>
    <row r="12" spans="1:11" ht="27" x14ac:dyDescent="0.25">
      <c r="A12" s="5" t="str">
        <f>"21/06/2025"</f>
        <v>21/06/2025</v>
      </c>
      <c r="B12" s="5" t="s">
        <v>1102</v>
      </c>
      <c r="C12" s="5">
        <v>0</v>
      </c>
      <c r="D12" s="5">
        <v>1</v>
      </c>
      <c r="E12" s="5">
        <v>14</v>
      </c>
      <c r="F12" s="5">
        <v>50.84</v>
      </c>
      <c r="G12" s="5" t="s">
        <v>1459</v>
      </c>
      <c r="H12" s="5" t="s">
        <v>1603</v>
      </c>
    </row>
    <row r="13" spans="1:11" ht="27" x14ac:dyDescent="0.25">
      <c r="A13" s="5" t="str">
        <f>"27/06/2025"</f>
        <v>27/06/2025</v>
      </c>
      <c r="B13" s="5" t="s">
        <v>1114</v>
      </c>
      <c r="C13" s="5">
        <v>0</v>
      </c>
      <c r="D13" s="5">
        <v>1</v>
      </c>
      <c r="E13" s="5">
        <v>13</v>
      </c>
      <c r="F13" s="5">
        <v>50.84</v>
      </c>
      <c r="G13" s="5" t="s">
        <v>1459</v>
      </c>
      <c r="H13" s="5" t="s">
        <v>1604</v>
      </c>
    </row>
    <row r="14" spans="1:11" ht="27" x14ac:dyDescent="0.25">
      <c r="A14" s="5" t="str">
        <f>"03/07/2025"</f>
        <v>03/07/2025</v>
      </c>
      <c r="B14" s="5" t="s">
        <v>1114</v>
      </c>
      <c r="C14" s="5">
        <v>0</v>
      </c>
      <c r="D14" s="5">
        <v>1</v>
      </c>
      <c r="E14" s="5">
        <v>12</v>
      </c>
      <c r="F14" s="5">
        <v>50.84</v>
      </c>
      <c r="G14" s="5" t="s">
        <v>1459</v>
      </c>
      <c r="H14" s="5" t="s">
        <v>1605</v>
      </c>
    </row>
    <row r="15" spans="1:11" ht="27" x14ac:dyDescent="0.25">
      <c r="A15" s="5" t="str">
        <f>"07/07/2025"</f>
        <v>07/07/2025</v>
      </c>
      <c r="B15" s="5" t="s">
        <v>1105</v>
      </c>
      <c r="C15" s="5">
        <v>0</v>
      </c>
      <c r="D15" s="5">
        <v>2</v>
      </c>
      <c r="E15" s="5">
        <v>10</v>
      </c>
      <c r="F15" s="5">
        <v>42</v>
      </c>
      <c r="G15" s="5" t="s">
        <v>1602</v>
      </c>
      <c r="H15" s="5" t="s">
        <v>1606</v>
      </c>
    </row>
    <row r="16" spans="1:11" ht="27" x14ac:dyDescent="0.25">
      <c r="A16" s="5" t="str">
        <f>"07/07/2025"</f>
        <v>07/07/2025</v>
      </c>
      <c r="B16" s="5" t="s">
        <v>1102</v>
      </c>
      <c r="C16" s="5">
        <v>0</v>
      </c>
      <c r="D16" s="5">
        <v>1</v>
      </c>
      <c r="E16" s="5">
        <v>9</v>
      </c>
      <c r="F16" s="5">
        <v>42</v>
      </c>
      <c r="G16" s="5" t="s">
        <v>1602</v>
      </c>
      <c r="H16" s="5" t="s">
        <v>1607</v>
      </c>
    </row>
    <row r="17" spans="1:8" ht="27" x14ac:dyDescent="0.25">
      <c r="A17" s="5" t="str">
        <f>"08/07/2025"</f>
        <v>08/07/2025</v>
      </c>
      <c r="B17" s="5" t="s">
        <v>1105</v>
      </c>
      <c r="C17" s="5">
        <v>0</v>
      </c>
      <c r="D17" s="5">
        <v>1</v>
      </c>
      <c r="E17" s="5">
        <v>8</v>
      </c>
      <c r="F17" s="5">
        <v>42</v>
      </c>
      <c r="G17" s="5" t="s">
        <v>1602</v>
      </c>
      <c r="H17" s="5" t="s">
        <v>1608</v>
      </c>
    </row>
    <row r="18" spans="1:8" ht="27" x14ac:dyDescent="0.25">
      <c r="A18" s="5" t="str">
        <f>"14/07/2025"</f>
        <v>14/07/2025</v>
      </c>
      <c r="B18" s="5" t="s">
        <v>1105</v>
      </c>
      <c r="C18" s="5">
        <v>0</v>
      </c>
      <c r="D18" s="5">
        <v>1</v>
      </c>
      <c r="E18" s="5">
        <v>7</v>
      </c>
      <c r="F18" s="5">
        <v>42</v>
      </c>
      <c r="G18" s="5" t="s">
        <v>1602</v>
      </c>
      <c r="H18" s="5" t="s">
        <v>1609</v>
      </c>
    </row>
    <row r="19" spans="1:8" ht="27" x14ac:dyDescent="0.25">
      <c r="A19" s="5" t="str">
        <f>"18/07/2025"</f>
        <v>18/07/2025</v>
      </c>
      <c r="B19" s="5" t="s">
        <v>1102</v>
      </c>
      <c r="C19" s="5">
        <v>0</v>
      </c>
      <c r="D19" s="5">
        <v>1</v>
      </c>
      <c r="E19" s="5">
        <v>6</v>
      </c>
      <c r="F19" s="5">
        <v>42</v>
      </c>
      <c r="G19" s="5" t="s">
        <v>1602</v>
      </c>
      <c r="H19" s="5" t="s">
        <v>1610</v>
      </c>
    </row>
    <row r="20" spans="1:8" ht="27" x14ac:dyDescent="0.25">
      <c r="A20" s="5" t="str">
        <f>"20/07/2025"</f>
        <v>20/07/2025</v>
      </c>
      <c r="B20" s="5" t="s">
        <v>1102</v>
      </c>
      <c r="C20" s="5">
        <v>0</v>
      </c>
      <c r="D20" s="5">
        <v>1</v>
      </c>
      <c r="E20" s="5">
        <v>5</v>
      </c>
      <c r="F20" s="5">
        <v>42</v>
      </c>
      <c r="G20" s="5" t="s">
        <v>1602</v>
      </c>
      <c r="H20" s="5" t="s">
        <v>1469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E3F8-2527-4834-94B3-2BB8FED8A314}">
  <dimension ref="A1:K19"/>
  <sheetViews>
    <sheetView workbookViewId="0">
      <selection activeCell="A8" sqref="A8:I8"/>
    </sheetView>
  </sheetViews>
  <sheetFormatPr baseColWidth="10" defaultRowHeight="15" x14ac:dyDescent="0.25"/>
  <cols>
    <col min="1" max="1" width="11.140625" customWidth="1"/>
    <col min="2" max="2" width="28.42578125" bestFit="1" customWidth="1"/>
    <col min="3" max="3" width="6.85546875" bestFit="1" customWidth="1"/>
    <col min="4" max="4" width="5.7109375" bestFit="1" customWidth="1"/>
    <col min="5" max="5" width="5.28515625" bestFit="1" customWidth="1"/>
    <col min="6" max="6" width="15.85546875" bestFit="1" customWidth="1"/>
    <col min="7" max="7" width="41.85546875" bestFit="1" customWidth="1"/>
    <col min="8" max="8" width="30.28515625" bestFit="1" customWidth="1"/>
    <col min="9" max="9" width="13.42578125" bestFit="1" customWidth="1"/>
    <col min="10" max="10" width="14" bestFit="1" customWidth="1"/>
    <col min="11" max="11" width="18.28515625" bestFit="1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1055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"615908433555"</f>
        <v>615908433555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"615908433555"</f>
        <v>615908433555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9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1102</v>
      </c>
      <c r="C10" s="5">
        <v>0</v>
      </c>
      <c r="D10" s="5">
        <v>1</v>
      </c>
      <c r="E10" s="5">
        <v>8</v>
      </c>
      <c r="F10" s="5">
        <v>48.52</v>
      </c>
      <c r="G10" s="5" t="s">
        <v>1611</v>
      </c>
      <c r="H10" s="5" t="s">
        <v>1601</v>
      </c>
    </row>
    <row r="11" spans="1:11" ht="27" x14ac:dyDescent="0.25">
      <c r="A11" s="5" t="str">
        <f>"21/06/2025"</f>
        <v>21/06/2025</v>
      </c>
      <c r="B11" s="5" t="s">
        <v>1102</v>
      </c>
      <c r="C11" s="5">
        <v>0</v>
      </c>
      <c r="D11" s="5">
        <v>1</v>
      </c>
      <c r="E11" s="5">
        <v>7</v>
      </c>
      <c r="F11" s="5">
        <v>48.52</v>
      </c>
      <c r="G11" s="5" t="s">
        <v>1611</v>
      </c>
      <c r="H11" s="5" t="s">
        <v>1603</v>
      </c>
    </row>
    <row r="12" spans="1:11" ht="27" x14ac:dyDescent="0.25">
      <c r="A12" s="5" t="str">
        <f>"27/06/2025"</f>
        <v>27/06/2025</v>
      </c>
      <c r="B12" s="5" t="s">
        <v>1114</v>
      </c>
      <c r="C12" s="5">
        <v>0</v>
      </c>
      <c r="D12" s="5">
        <v>1</v>
      </c>
      <c r="E12" s="5">
        <v>6</v>
      </c>
      <c r="F12" s="5">
        <v>48.52</v>
      </c>
      <c r="G12" s="5" t="s">
        <v>1611</v>
      </c>
      <c r="H12" s="5" t="s">
        <v>1604</v>
      </c>
    </row>
    <row r="13" spans="1:11" ht="27" x14ac:dyDescent="0.25">
      <c r="A13" s="5" t="str">
        <f>"03/07/2025"</f>
        <v>03/07/2025</v>
      </c>
      <c r="B13" s="5" t="s">
        <v>1114</v>
      </c>
      <c r="C13" s="5">
        <v>0</v>
      </c>
      <c r="D13" s="5">
        <v>1</v>
      </c>
      <c r="E13" s="5">
        <v>5</v>
      </c>
      <c r="F13" s="5">
        <v>53.18</v>
      </c>
      <c r="G13" s="5" t="s">
        <v>1611</v>
      </c>
      <c r="H13" s="5" t="s">
        <v>1605</v>
      </c>
    </row>
    <row r="14" spans="1:11" ht="27" x14ac:dyDescent="0.25">
      <c r="A14" s="5" t="str">
        <f>"07/07/2025"</f>
        <v>07/07/2025</v>
      </c>
      <c r="B14" s="5" t="s">
        <v>1105</v>
      </c>
      <c r="C14" s="5">
        <v>0</v>
      </c>
      <c r="D14" s="5">
        <v>2</v>
      </c>
      <c r="E14" s="5">
        <v>3</v>
      </c>
      <c r="F14" s="5">
        <v>53.18</v>
      </c>
      <c r="G14" s="5" t="s">
        <v>1611</v>
      </c>
      <c r="H14" s="5" t="s">
        <v>1612</v>
      </c>
    </row>
    <row r="15" spans="1:11" ht="27" x14ac:dyDescent="0.25">
      <c r="A15" s="5" t="str">
        <f>"07/07/2025"</f>
        <v>07/07/2025</v>
      </c>
      <c r="B15" s="5" t="s">
        <v>1105</v>
      </c>
      <c r="C15" s="5">
        <v>2</v>
      </c>
      <c r="D15" s="5">
        <v>0</v>
      </c>
      <c r="E15" s="5">
        <v>5</v>
      </c>
      <c r="F15" s="5">
        <v>53.18</v>
      </c>
      <c r="G15" s="5" t="s">
        <v>1613</v>
      </c>
      <c r="H15" s="6"/>
    </row>
    <row r="16" spans="1:11" ht="27" x14ac:dyDescent="0.25">
      <c r="A16" s="5" t="str">
        <f>"07/07/2025"</f>
        <v>07/07/2025</v>
      </c>
      <c r="B16" s="5" t="s">
        <v>1102</v>
      </c>
      <c r="C16" s="5">
        <v>0</v>
      </c>
      <c r="D16" s="5">
        <v>1</v>
      </c>
      <c r="E16" s="5">
        <v>4</v>
      </c>
      <c r="F16" s="5">
        <v>53.18</v>
      </c>
      <c r="G16" s="5" t="s">
        <v>1613</v>
      </c>
      <c r="H16" s="5" t="s">
        <v>1607</v>
      </c>
    </row>
    <row r="17" spans="1:8" ht="27" x14ac:dyDescent="0.25">
      <c r="A17" s="5" t="str">
        <f>"08/07/2025"</f>
        <v>08/07/2025</v>
      </c>
      <c r="B17" s="5" t="s">
        <v>1105</v>
      </c>
      <c r="C17" s="5">
        <v>0</v>
      </c>
      <c r="D17" s="5">
        <v>1</v>
      </c>
      <c r="E17" s="5">
        <v>3</v>
      </c>
      <c r="F17" s="5">
        <v>53.18</v>
      </c>
      <c r="G17" s="5" t="s">
        <v>1613</v>
      </c>
      <c r="H17" s="5" t="s">
        <v>1608</v>
      </c>
    </row>
    <row r="18" spans="1:8" ht="27" x14ac:dyDescent="0.25">
      <c r="A18" s="5" t="str">
        <f>"14/07/2025"</f>
        <v>14/07/2025</v>
      </c>
      <c r="B18" s="5" t="s">
        <v>1105</v>
      </c>
      <c r="C18" s="5">
        <v>0</v>
      </c>
      <c r="D18" s="5">
        <v>1</v>
      </c>
      <c r="E18" s="5">
        <v>2</v>
      </c>
      <c r="F18" s="5">
        <v>53.18</v>
      </c>
      <c r="G18" s="5" t="s">
        <v>1611</v>
      </c>
      <c r="H18" s="5" t="s">
        <v>1609</v>
      </c>
    </row>
    <row r="19" spans="1:8" ht="27" x14ac:dyDescent="0.25">
      <c r="A19" s="5" t="str">
        <f>"18/07/2025"</f>
        <v>18/07/2025</v>
      </c>
      <c r="B19" s="5" t="s">
        <v>1102</v>
      </c>
      <c r="C19" s="5">
        <v>0</v>
      </c>
      <c r="D19" s="5">
        <v>1</v>
      </c>
      <c r="E19" s="5">
        <v>1</v>
      </c>
      <c r="F19" s="5">
        <v>53.18</v>
      </c>
      <c r="G19" s="5" t="s">
        <v>1611</v>
      </c>
      <c r="H19" s="5" t="s">
        <v>1610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816B-7742-4CA1-8938-59C5022929A4}">
  <dimension ref="A1:K19"/>
  <sheetViews>
    <sheetView workbookViewId="0">
      <selection activeCell="C6" sqref="C6:I6"/>
    </sheetView>
  </sheetViews>
  <sheetFormatPr baseColWidth="10" defaultRowHeight="15" x14ac:dyDescent="0.25"/>
  <cols>
    <col min="1" max="1" width="19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19.85546875" customWidth="1"/>
    <col min="8" max="8" width="33.140625" customWidth="1"/>
    <col min="9" max="9" width="26.5703125" customWidth="1"/>
    <col min="10" max="10" width="14.85546875" customWidth="1"/>
    <col min="11" max="11" width="20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81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"4064666336169"</f>
        <v>4064666336169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"4064666336169"</f>
        <v>4064666336169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19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"02/07/2025"</f>
        <v>02/07/2025</v>
      </c>
      <c r="B10" s="5" t="s">
        <v>1114</v>
      </c>
      <c r="C10" s="5">
        <v>16</v>
      </c>
      <c r="D10" s="5">
        <v>0</v>
      </c>
      <c r="E10" s="5">
        <v>16</v>
      </c>
      <c r="F10" s="5">
        <v>54.96</v>
      </c>
      <c r="G10" s="5" t="s">
        <v>1244</v>
      </c>
      <c r="H10" s="6"/>
    </row>
    <row r="11" spans="1:11" ht="27" x14ac:dyDescent="0.25">
      <c r="A11" s="5" t="str">
        <f>"03/07/2025"</f>
        <v>03/07/2025</v>
      </c>
      <c r="B11" s="5" t="s">
        <v>1105</v>
      </c>
      <c r="C11" s="5">
        <v>0</v>
      </c>
      <c r="D11" s="5">
        <v>1</v>
      </c>
      <c r="E11" s="5">
        <v>15</v>
      </c>
      <c r="F11" s="5">
        <v>54.96</v>
      </c>
      <c r="G11" s="5" t="s">
        <v>1244</v>
      </c>
      <c r="H11" s="5" t="s">
        <v>1614</v>
      </c>
    </row>
    <row r="12" spans="1:11" ht="27" x14ac:dyDescent="0.25">
      <c r="A12" s="5" t="str">
        <f>"06/07/2025"</f>
        <v>06/07/2025</v>
      </c>
      <c r="B12" s="5" t="s">
        <v>1102</v>
      </c>
      <c r="C12" s="5">
        <v>0</v>
      </c>
      <c r="D12" s="5">
        <v>1</v>
      </c>
      <c r="E12" s="5">
        <v>14</v>
      </c>
      <c r="F12" s="5">
        <v>54.96</v>
      </c>
      <c r="G12" s="5" t="s">
        <v>1244</v>
      </c>
      <c r="H12" s="5" t="s">
        <v>1340</v>
      </c>
    </row>
    <row r="13" spans="1:11" ht="27" x14ac:dyDescent="0.25">
      <c r="A13" s="5" t="str">
        <f>"07/07/2025"</f>
        <v>07/07/2025</v>
      </c>
      <c r="B13" s="5" t="s">
        <v>1114</v>
      </c>
      <c r="C13" s="5">
        <v>0</v>
      </c>
      <c r="D13" s="5">
        <v>3</v>
      </c>
      <c r="E13" s="5">
        <v>11</v>
      </c>
      <c r="F13" s="5">
        <v>54.96</v>
      </c>
      <c r="G13" s="5" t="s">
        <v>1244</v>
      </c>
      <c r="H13" s="5" t="s">
        <v>1249</v>
      </c>
      <c r="I13" s="5" t="s">
        <v>1250</v>
      </c>
      <c r="J13" s="5" t="s">
        <v>1251</v>
      </c>
      <c r="K13" s="5" t="s">
        <v>1252</v>
      </c>
    </row>
    <row r="14" spans="1:11" ht="27" x14ac:dyDescent="0.25">
      <c r="A14" s="5" t="str">
        <f>"09/07/2025"</f>
        <v>09/07/2025</v>
      </c>
      <c r="B14" s="5" t="s">
        <v>1178</v>
      </c>
      <c r="C14" s="5">
        <v>0</v>
      </c>
      <c r="D14" s="5">
        <v>4</v>
      </c>
      <c r="E14" s="5">
        <v>7</v>
      </c>
      <c r="F14" s="5">
        <v>54.96</v>
      </c>
      <c r="G14" s="5" t="s">
        <v>1244</v>
      </c>
      <c r="H14" s="5" t="s">
        <v>1253</v>
      </c>
      <c r="I14" s="5" t="s">
        <v>1254</v>
      </c>
      <c r="J14" s="6"/>
      <c r="K14" s="6"/>
    </row>
    <row r="15" spans="1:11" ht="27" x14ac:dyDescent="0.25">
      <c r="A15" s="5" t="str">
        <f>"10/07/2025"</f>
        <v>10/07/2025</v>
      </c>
      <c r="B15" s="5" t="s">
        <v>1170</v>
      </c>
      <c r="C15" s="5">
        <v>0</v>
      </c>
      <c r="D15" s="5">
        <v>1</v>
      </c>
      <c r="E15" s="5">
        <v>6</v>
      </c>
      <c r="F15" s="5">
        <v>54.96</v>
      </c>
      <c r="G15" s="5" t="s">
        <v>1244</v>
      </c>
      <c r="H15" s="5" t="s">
        <v>1615</v>
      </c>
    </row>
    <row r="16" spans="1:11" ht="27" x14ac:dyDescent="0.25">
      <c r="A16" s="5" t="str">
        <f>"13/07/2025"</f>
        <v>13/07/2025</v>
      </c>
      <c r="B16" s="5" t="s">
        <v>1102</v>
      </c>
      <c r="C16" s="5">
        <v>0</v>
      </c>
      <c r="D16" s="5">
        <v>1</v>
      </c>
      <c r="E16" s="5">
        <v>5</v>
      </c>
      <c r="F16" s="5">
        <v>54.96</v>
      </c>
      <c r="G16" s="5" t="s">
        <v>1244</v>
      </c>
      <c r="H16" s="5" t="s">
        <v>1322</v>
      </c>
    </row>
    <row r="17" spans="1:8" ht="27" x14ac:dyDescent="0.25">
      <c r="A17" s="5" t="str">
        <f>"15/07/2025"</f>
        <v>15/07/2025</v>
      </c>
      <c r="B17" s="5" t="s">
        <v>1129</v>
      </c>
      <c r="C17" s="5">
        <v>0</v>
      </c>
      <c r="D17" s="5">
        <v>1</v>
      </c>
      <c r="E17" s="5">
        <v>4</v>
      </c>
      <c r="F17" s="5">
        <v>54.96</v>
      </c>
      <c r="G17" s="5" t="s">
        <v>1244</v>
      </c>
      <c r="H17" s="5" t="s">
        <v>1616</v>
      </c>
    </row>
    <row r="18" spans="1:8" ht="27" x14ac:dyDescent="0.25">
      <c r="A18" s="5" t="str">
        <f>"16/07/2025"</f>
        <v>16/07/2025</v>
      </c>
      <c r="B18" s="5" t="s">
        <v>1114</v>
      </c>
      <c r="C18" s="5">
        <v>0</v>
      </c>
      <c r="D18" s="5">
        <v>1</v>
      </c>
      <c r="E18" s="5">
        <v>3</v>
      </c>
      <c r="F18" s="5">
        <v>54.96</v>
      </c>
      <c r="G18" s="5" t="s">
        <v>1244</v>
      </c>
      <c r="H18" s="5" t="s">
        <v>1284</v>
      </c>
    </row>
    <row r="19" spans="1:8" ht="27" x14ac:dyDescent="0.25">
      <c r="A19" s="5" t="str">
        <f>"18/07/2025"</f>
        <v>18/07/2025</v>
      </c>
      <c r="B19" s="5" t="s">
        <v>1114</v>
      </c>
      <c r="C19" s="5">
        <v>16</v>
      </c>
      <c r="D19" s="5">
        <v>0</v>
      </c>
      <c r="E19" s="5">
        <v>19</v>
      </c>
      <c r="F19" s="5">
        <v>54.96</v>
      </c>
      <c r="G19" s="5" t="s">
        <v>1287</v>
      </c>
      <c r="H19" s="6"/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FDE3F-C9CD-4709-9A58-31ACBABB1E57}">
  <dimension ref="A1:K27"/>
  <sheetViews>
    <sheetView workbookViewId="0">
      <selection activeCell="C4" sqref="C4:I4"/>
    </sheetView>
  </sheetViews>
  <sheetFormatPr baseColWidth="10" defaultRowHeight="15" x14ac:dyDescent="0.25"/>
  <cols>
    <col min="1" max="1" width="14.7109375" customWidth="1"/>
    <col min="2" max="2" width="32.28515625" customWidth="1"/>
    <col min="3" max="3" width="7.7109375" customWidth="1"/>
    <col min="4" max="4" width="6.42578125" customWidth="1"/>
    <col min="5" max="5" width="6" customWidth="1"/>
    <col min="6" max="6" width="18" customWidth="1"/>
    <col min="7" max="7" width="38.5703125" customWidth="1"/>
    <col min="8" max="8" width="19.7109375" customWidth="1"/>
    <col min="9" max="9" width="15.28515625" customWidth="1"/>
    <col min="10" max="10" width="15.85546875" customWidth="1"/>
    <col min="11" max="11" width="21.57031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1623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"8022297095929"</f>
        <v>8022297095929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"1680548418266"</f>
        <v>1680548418266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6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6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1105</v>
      </c>
      <c r="C10" s="5">
        <v>0</v>
      </c>
      <c r="D10" s="5">
        <v>1</v>
      </c>
      <c r="E10" s="5">
        <v>5</v>
      </c>
      <c r="F10" s="5">
        <v>68.52</v>
      </c>
      <c r="G10" s="5" t="s">
        <v>1624</v>
      </c>
      <c r="H10" s="5" t="s">
        <v>1625</v>
      </c>
    </row>
    <row r="11" spans="1:11" ht="27" x14ac:dyDescent="0.25">
      <c r="A11" s="5" t="str">
        <f>"23/06/2025"</f>
        <v>23/06/2025</v>
      </c>
      <c r="B11" s="5" t="s">
        <v>1102</v>
      </c>
      <c r="C11" s="5">
        <v>0</v>
      </c>
      <c r="D11" s="5">
        <v>1</v>
      </c>
      <c r="E11" s="5">
        <v>4</v>
      </c>
      <c r="F11" s="5">
        <v>68.52</v>
      </c>
      <c r="G11" s="5" t="s">
        <v>1624</v>
      </c>
      <c r="H11" s="5" t="s">
        <v>1626</v>
      </c>
    </row>
    <row r="12" spans="1:11" ht="27" x14ac:dyDescent="0.25">
      <c r="A12" s="5" t="str">
        <f>"25/06/2025"</f>
        <v>25/06/2025</v>
      </c>
      <c r="B12" s="5" t="s">
        <v>1102</v>
      </c>
      <c r="C12" s="5">
        <v>0</v>
      </c>
      <c r="D12" s="5">
        <v>1</v>
      </c>
      <c r="E12" s="5">
        <v>3</v>
      </c>
      <c r="F12" s="5">
        <v>68.52</v>
      </c>
      <c r="G12" s="5" t="s">
        <v>1624</v>
      </c>
      <c r="H12" s="5" t="s">
        <v>1627</v>
      </c>
    </row>
    <row r="13" spans="1:11" ht="27" x14ac:dyDescent="0.25">
      <c r="A13" s="5" t="str">
        <f>"26/06/2025"</f>
        <v>26/06/2025</v>
      </c>
      <c r="B13" s="5" t="s">
        <v>1114</v>
      </c>
      <c r="C13" s="5">
        <v>6</v>
      </c>
      <c r="D13" s="5">
        <v>0</v>
      </c>
      <c r="E13" s="5">
        <v>9</v>
      </c>
      <c r="F13" s="5">
        <v>68.52</v>
      </c>
      <c r="G13" s="5" t="s">
        <v>1292</v>
      </c>
      <c r="H13" s="6"/>
    </row>
    <row r="14" spans="1:11" ht="27" x14ac:dyDescent="0.25">
      <c r="A14" s="5" t="str">
        <f>"26/06/2025"</f>
        <v>26/06/2025</v>
      </c>
      <c r="B14" s="5" t="s">
        <v>1114</v>
      </c>
      <c r="C14" s="5">
        <v>0</v>
      </c>
      <c r="D14" s="5">
        <v>6</v>
      </c>
      <c r="E14" s="5">
        <v>3</v>
      </c>
      <c r="F14" s="5">
        <v>68.52</v>
      </c>
      <c r="G14" s="5" t="s">
        <v>1292</v>
      </c>
      <c r="H14" s="5" t="s">
        <v>1293</v>
      </c>
    </row>
    <row r="15" spans="1:11" ht="27" x14ac:dyDescent="0.25">
      <c r="A15" s="5" t="str">
        <f>"26/06/2025"</f>
        <v>26/06/2025</v>
      </c>
      <c r="B15" s="5" t="s">
        <v>1114</v>
      </c>
      <c r="C15" s="5">
        <v>6</v>
      </c>
      <c r="D15" s="5">
        <v>0</v>
      </c>
      <c r="E15" s="5">
        <v>9</v>
      </c>
      <c r="F15" s="5">
        <v>71.94</v>
      </c>
      <c r="G15" s="5" t="s">
        <v>1292</v>
      </c>
      <c r="H15" s="6"/>
    </row>
    <row r="16" spans="1:11" ht="27" x14ac:dyDescent="0.25">
      <c r="A16" s="5" t="str">
        <f>"30/06/2025"</f>
        <v>30/06/2025</v>
      </c>
      <c r="B16" s="5" t="s">
        <v>1108</v>
      </c>
      <c r="C16" s="5">
        <v>0</v>
      </c>
      <c r="D16" s="5">
        <v>1</v>
      </c>
      <c r="E16" s="5">
        <v>8</v>
      </c>
      <c r="F16" s="5">
        <v>68.52</v>
      </c>
      <c r="G16" s="5" t="s">
        <v>1624</v>
      </c>
      <c r="H16" s="5" t="s">
        <v>1628</v>
      </c>
    </row>
    <row r="17" spans="1:8" ht="27" x14ac:dyDescent="0.25">
      <c r="A17" s="5" t="str">
        <f>"02/07/2025"</f>
        <v>02/07/2025</v>
      </c>
      <c r="B17" s="5" t="s">
        <v>1102</v>
      </c>
      <c r="C17" s="5">
        <v>0</v>
      </c>
      <c r="D17" s="5">
        <v>1</v>
      </c>
      <c r="E17" s="5">
        <v>7</v>
      </c>
      <c r="F17" s="5">
        <v>68.52</v>
      </c>
      <c r="G17" s="5" t="s">
        <v>1624</v>
      </c>
      <c r="H17" s="5" t="s">
        <v>1629</v>
      </c>
    </row>
    <row r="18" spans="1:8" ht="27" x14ac:dyDescent="0.25">
      <c r="A18" s="5" t="str">
        <f>"02/07/2025"</f>
        <v>02/07/2025</v>
      </c>
      <c r="B18" s="5" t="s">
        <v>1129</v>
      </c>
      <c r="C18" s="5">
        <v>0</v>
      </c>
      <c r="D18" s="5">
        <v>1</v>
      </c>
      <c r="E18" s="5">
        <v>6</v>
      </c>
      <c r="F18" s="5">
        <v>68.52</v>
      </c>
      <c r="G18" s="5" t="s">
        <v>1624</v>
      </c>
      <c r="H18" s="5" t="s">
        <v>1398</v>
      </c>
    </row>
    <row r="19" spans="1:8" ht="27" x14ac:dyDescent="0.25">
      <c r="A19" s="5" t="str">
        <f>"02/07/2025"</f>
        <v>02/07/2025</v>
      </c>
      <c r="B19" s="5" t="s">
        <v>1129</v>
      </c>
      <c r="C19" s="5">
        <v>0</v>
      </c>
      <c r="D19" s="5">
        <v>1</v>
      </c>
      <c r="E19" s="5">
        <v>5</v>
      </c>
      <c r="F19" s="5">
        <v>71.94</v>
      </c>
      <c r="G19" s="5" t="s">
        <v>1292</v>
      </c>
      <c r="H19" s="5" t="s">
        <v>1630</v>
      </c>
    </row>
    <row r="20" spans="1:8" ht="27" x14ac:dyDescent="0.25">
      <c r="A20" s="5" t="str">
        <f>"02/07/2025"</f>
        <v>02/07/2025</v>
      </c>
      <c r="B20" s="5" t="s">
        <v>1114</v>
      </c>
      <c r="C20" s="5">
        <v>1</v>
      </c>
      <c r="D20" s="5">
        <v>0</v>
      </c>
      <c r="E20" s="5">
        <v>6</v>
      </c>
      <c r="F20" s="5">
        <v>71.94</v>
      </c>
      <c r="G20" s="5" t="s">
        <v>1459</v>
      </c>
      <c r="H20" s="6"/>
    </row>
    <row r="21" spans="1:8" ht="27" x14ac:dyDescent="0.25">
      <c r="A21" s="5" t="str">
        <f>"02/07/2025"</f>
        <v>02/07/2025</v>
      </c>
      <c r="B21" s="5" t="s">
        <v>1102</v>
      </c>
      <c r="C21" s="5">
        <v>0</v>
      </c>
      <c r="D21" s="5">
        <v>1</v>
      </c>
      <c r="E21" s="5">
        <v>5</v>
      </c>
      <c r="F21" s="5">
        <v>71.94</v>
      </c>
      <c r="G21" s="5" t="s">
        <v>1459</v>
      </c>
      <c r="H21" s="5" t="s">
        <v>1631</v>
      </c>
    </row>
    <row r="22" spans="1:8" ht="27" x14ac:dyDescent="0.25">
      <c r="A22" s="5" t="str">
        <f>"09/07/2025"</f>
        <v>09/07/2025</v>
      </c>
      <c r="B22" s="5" t="s">
        <v>1105</v>
      </c>
      <c r="C22" s="5">
        <v>0</v>
      </c>
      <c r="D22" s="5">
        <v>1</v>
      </c>
      <c r="E22" s="5">
        <v>4</v>
      </c>
      <c r="F22" s="5">
        <v>71.94</v>
      </c>
      <c r="G22" s="5" t="s">
        <v>1292</v>
      </c>
      <c r="H22" s="5" t="s">
        <v>1632</v>
      </c>
    </row>
    <row r="23" spans="1:8" ht="27" x14ac:dyDescent="0.25">
      <c r="A23" s="5" t="str">
        <f>"09/07/2025"</f>
        <v>09/07/2025</v>
      </c>
      <c r="B23" s="5" t="s">
        <v>1114</v>
      </c>
      <c r="C23" s="5">
        <v>0</v>
      </c>
      <c r="D23" s="5">
        <v>1</v>
      </c>
      <c r="E23" s="5">
        <v>3</v>
      </c>
      <c r="F23" s="5">
        <v>71.94</v>
      </c>
      <c r="G23" s="5" t="s">
        <v>1292</v>
      </c>
      <c r="H23" s="5" t="s">
        <v>1235</v>
      </c>
    </row>
    <row r="24" spans="1:8" ht="27" x14ac:dyDescent="0.25">
      <c r="A24" s="5" t="str">
        <f>"15/07/2025"</f>
        <v>15/07/2025</v>
      </c>
      <c r="B24" s="5" t="s">
        <v>1129</v>
      </c>
      <c r="C24" s="5">
        <v>0</v>
      </c>
      <c r="D24" s="5">
        <v>1</v>
      </c>
      <c r="E24" s="5">
        <v>2</v>
      </c>
      <c r="F24" s="5">
        <v>71.94</v>
      </c>
      <c r="G24" s="5" t="s">
        <v>1292</v>
      </c>
      <c r="H24" s="5" t="s">
        <v>1633</v>
      </c>
    </row>
    <row r="25" spans="1:8" ht="27" x14ac:dyDescent="0.25">
      <c r="A25" s="5" t="str">
        <f>"16/07/2025"</f>
        <v>16/07/2025</v>
      </c>
      <c r="B25" s="5" t="s">
        <v>1114</v>
      </c>
      <c r="C25" s="5">
        <v>6</v>
      </c>
      <c r="D25" s="5">
        <v>0</v>
      </c>
      <c r="E25" s="5">
        <v>8</v>
      </c>
      <c r="F25" s="5">
        <v>71.94</v>
      </c>
      <c r="G25" s="5" t="s">
        <v>1435</v>
      </c>
      <c r="H25" s="6"/>
    </row>
    <row r="26" spans="1:8" ht="27" x14ac:dyDescent="0.25">
      <c r="A26" s="5" t="str">
        <f>"17/07/2025"</f>
        <v>17/07/2025</v>
      </c>
      <c r="B26" s="5" t="s">
        <v>1114</v>
      </c>
      <c r="C26" s="5">
        <v>0</v>
      </c>
      <c r="D26" s="5">
        <v>1</v>
      </c>
      <c r="E26" s="5">
        <v>7</v>
      </c>
      <c r="F26" s="5">
        <v>71.94</v>
      </c>
      <c r="G26" s="5" t="s">
        <v>1292</v>
      </c>
      <c r="H26" s="5" t="s">
        <v>1634</v>
      </c>
    </row>
    <row r="27" spans="1:8" ht="27" x14ac:dyDescent="0.25">
      <c r="A27" s="5" t="str">
        <f>"18/07/2025"</f>
        <v>18/07/2025</v>
      </c>
      <c r="B27" s="5" t="s">
        <v>1102</v>
      </c>
      <c r="C27" s="5">
        <v>0</v>
      </c>
      <c r="D27" s="5">
        <v>1</v>
      </c>
      <c r="E27" s="5">
        <v>6</v>
      </c>
      <c r="F27" s="5">
        <v>71.94</v>
      </c>
      <c r="G27" s="5" t="s">
        <v>1292</v>
      </c>
      <c r="H27" s="5" t="s">
        <v>1347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1202F-70C1-4B3C-84BF-6A14AA7EB7E8}">
  <dimension ref="A1:K19"/>
  <sheetViews>
    <sheetView workbookViewId="0">
      <selection activeCell="A8" sqref="A8:I8"/>
    </sheetView>
  </sheetViews>
  <sheetFormatPr baseColWidth="10" defaultRowHeight="15" x14ac:dyDescent="0.25"/>
  <cols>
    <col min="1" max="1" width="11.42578125" customWidth="1"/>
    <col min="2" max="2" width="30.28515625" customWidth="1"/>
    <col min="3" max="3" width="7.28515625" customWidth="1"/>
    <col min="4" max="4" width="6" customWidth="1"/>
    <col min="5" max="5" width="5.5703125" customWidth="1"/>
    <col min="6" max="6" width="16.85546875" customWidth="1"/>
    <col min="7" max="7" width="23.140625" customWidth="1"/>
    <col min="8" max="8" width="23.42578125" customWidth="1"/>
    <col min="9" max="9" width="26.5703125" customWidth="1"/>
    <col min="10" max="10" width="14.85546875" customWidth="1"/>
    <col min="11" max="11" width="20.28515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83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"8022297157030"</f>
        <v>8022297157030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"8022297157030"</f>
        <v>8022297157030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4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5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"21/06/2025"</f>
        <v>21/06/2025</v>
      </c>
      <c r="B10" s="5" t="s">
        <v>1102</v>
      </c>
      <c r="C10" s="5">
        <v>0</v>
      </c>
      <c r="D10" s="5">
        <v>1</v>
      </c>
      <c r="E10" s="5">
        <v>3</v>
      </c>
      <c r="F10" s="5">
        <v>30.16</v>
      </c>
      <c r="G10" s="5" t="s">
        <v>1617</v>
      </c>
      <c r="H10" s="5" t="s">
        <v>1413</v>
      </c>
    </row>
    <row r="11" spans="1:11" ht="27" x14ac:dyDescent="0.25">
      <c r="A11" s="5" t="str">
        <f>"24/06/2025"</f>
        <v>24/06/2025</v>
      </c>
      <c r="B11" s="5" t="s">
        <v>1114</v>
      </c>
      <c r="C11" s="5">
        <v>0</v>
      </c>
      <c r="D11" s="5">
        <v>2</v>
      </c>
      <c r="E11" s="5">
        <v>1</v>
      </c>
      <c r="F11" s="5">
        <v>30.16</v>
      </c>
      <c r="G11" s="5" t="s">
        <v>1617</v>
      </c>
      <c r="H11" s="5" t="s">
        <v>1353</v>
      </c>
      <c r="I11" s="5" t="s">
        <v>1250</v>
      </c>
      <c r="J11" s="5" t="s">
        <v>1251</v>
      </c>
      <c r="K11" s="5" t="s">
        <v>1354</v>
      </c>
    </row>
    <row r="12" spans="1:11" ht="27" x14ac:dyDescent="0.25">
      <c r="A12" s="5" t="str">
        <f>"26/06/2025"</f>
        <v>26/06/2025</v>
      </c>
      <c r="B12" s="5" t="s">
        <v>1114</v>
      </c>
      <c r="C12" s="5">
        <v>9</v>
      </c>
      <c r="D12" s="5">
        <v>0</v>
      </c>
      <c r="E12" s="5">
        <v>10</v>
      </c>
      <c r="F12" s="5">
        <v>30.16</v>
      </c>
      <c r="G12" s="5" t="s">
        <v>1292</v>
      </c>
      <c r="H12" s="6"/>
    </row>
    <row r="13" spans="1:11" ht="27" x14ac:dyDescent="0.25">
      <c r="A13" s="5" t="str">
        <f>"26/06/2025"</f>
        <v>26/06/2025</v>
      </c>
      <c r="B13" s="5" t="s">
        <v>1114</v>
      </c>
      <c r="C13" s="5">
        <v>0</v>
      </c>
      <c r="D13" s="5">
        <v>9</v>
      </c>
      <c r="E13" s="5">
        <v>1</v>
      </c>
      <c r="F13" s="5">
        <v>30.16</v>
      </c>
      <c r="G13" s="5" t="s">
        <v>1292</v>
      </c>
      <c r="H13" s="5" t="s">
        <v>1293</v>
      </c>
    </row>
    <row r="14" spans="1:11" ht="27" x14ac:dyDescent="0.25">
      <c r="A14" s="5" t="str">
        <f>"26/06/2025"</f>
        <v>26/06/2025</v>
      </c>
      <c r="B14" s="5" t="s">
        <v>1114</v>
      </c>
      <c r="C14" s="5">
        <v>9</v>
      </c>
      <c r="D14" s="5">
        <v>0</v>
      </c>
      <c r="E14" s="5">
        <v>10</v>
      </c>
      <c r="F14" s="5">
        <v>30.16</v>
      </c>
      <c r="G14" s="5" t="s">
        <v>1292</v>
      </c>
      <c r="H14" s="6"/>
    </row>
    <row r="15" spans="1:11" ht="27" x14ac:dyDescent="0.25">
      <c r="A15" s="5" t="str">
        <f>"30/06/2025"</f>
        <v>30/06/2025</v>
      </c>
      <c r="B15" s="5" t="s">
        <v>1108</v>
      </c>
      <c r="C15" s="5">
        <v>0</v>
      </c>
      <c r="D15" s="5">
        <v>1</v>
      </c>
      <c r="E15" s="5">
        <v>9</v>
      </c>
      <c r="F15" s="5">
        <v>30.16</v>
      </c>
      <c r="G15" s="5" t="s">
        <v>1617</v>
      </c>
      <c r="H15" s="5" t="s">
        <v>1618</v>
      </c>
    </row>
    <row r="16" spans="1:11" ht="27" x14ac:dyDescent="0.25">
      <c r="A16" s="5" t="str">
        <f>"07/07/2025"</f>
        <v>07/07/2025</v>
      </c>
      <c r="B16" s="5" t="s">
        <v>1105</v>
      </c>
      <c r="C16" s="5">
        <v>0</v>
      </c>
      <c r="D16" s="5">
        <v>1</v>
      </c>
      <c r="E16" s="5">
        <v>8</v>
      </c>
      <c r="F16" s="5">
        <v>30.16</v>
      </c>
      <c r="G16" s="5" t="s">
        <v>1292</v>
      </c>
      <c r="H16" s="5" t="s">
        <v>1619</v>
      </c>
    </row>
    <row r="17" spans="1:8" ht="27" x14ac:dyDescent="0.25">
      <c r="A17" s="5" t="str">
        <f>"12/07/2025"</f>
        <v>12/07/2025</v>
      </c>
      <c r="B17" s="5" t="s">
        <v>1102</v>
      </c>
      <c r="C17" s="5">
        <v>0</v>
      </c>
      <c r="D17" s="5">
        <v>1</v>
      </c>
      <c r="E17" s="5">
        <v>7</v>
      </c>
      <c r="F17" s="5">
        <v>30.16</v>
      </c>
      <c r="G17" s="5" t="s">
        <v>1292</v>
      </c>
      <c r="H17" s="5" t="s">
        <v>1620</v>
      </c>
    </row>
    <row r="18" spans="1:8" ht="27" x14ac:dyDescent="0.25">
      <c r="A18" s="5" t="str">
        <f>"14/07/2025"</f>
        <v>14/07/2025</v>
      </c>
      <c r="B18" s="5" t="s">
        <v>1105</v>
      </c>
      <c r="C18" s="5">
        <v>0</v>
      </c>
      <c r="D18" s="5">
        <v>1</v>
      </c>
      <c r="E18" s="5">
        <v>6</v>
      </c>
      <c r="F18" s="5">
        <v>30.16</v>
      </c>
      <c r="G18" s="5" t="s">
        <v>1292</v>
      </c>
      <c r="H18" s="5" t="s">
        <v>1621</v>
      </c>
    </row>
    <row r="19" spans="1:8" ht="27" x14ac:dyDescent="0.25">
      <c r="A19" s="5" t="str">
        <f>"16/07/2025"</f>
        <v>16/07/2025</v>
      </c>
      <c r="B19" s="5" t="s">
        <v>1114</v>
      </c>
      <c r="C19" s="5">
        <v>0</v>
      </c>
      <c r="D19" s="5">
        <v>1</v>
      </c>
      <c r="E19" s="5">
        <v>5</v>
      </c>
      <c r="F19" s="5">
        <v>30.16</v>
      </c>
      <c r="G19" s="5" t="s">
        <v>1292</v>
      </c>
      <c r="H19" s="5" t="s">
        <v>1622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5A1CD-8C73-4E6D-8F85-D3C64AB1CEF4}">
  <dimension ref="A1:K24"/>
  <sheetViews>
    <sheetView workbookViewId="0">
      <selection activeCell="K14" sqref="K14"/>
    </sheetView>
  </sheetViews>
  <sheetFormatPr baseColWidth="10" defaultColWidth="11.28515625" defaultRowHeight="15" x14ac:dyDescent="0.25"/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215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"6943074121148"</f>
        <v>6943074121148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"P0000000000076"</f>
        <v>P0000000000076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10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19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"25/06/2025"</f>
        <v>25/06/2025</v>
      </c>
      <c r="B10" s="5" t="s">
        <v>1102</v>
      </c>
      <c r="C10" s="5">
        <v>0</v>
      </c>
      <c r="D10" s="5">
        <v>1</v>
      </c>
      <c r="E10" s="5">
        <v>9</v>
      </c>
      <c r="F10" s="5">
        <v>31.06</v>
      </c>
      <c r="G10" s="5" t="s">
        <v>1549</v>
      </c>
      <c r="H10" s="5" t="s">
        <v>1635</v>
      </c>
    </row>
    <row r="11" spans="1:11" ht="27" x14ac:dyDescent="0.25">
      <c r="A11" s="5" t="str">
        <f>"27/06/2025"</f>
        <v>27/06/2025</v>
      </c>
      <c r="B11" s="5" t="s">
        <v>1108</v>
      </c>
      <c r="C11" s="5">
        <v>0</v>
      </c>
      <c r="D11" s="5">
        <v>1</v>
      </c>
      <c r="E11" s="5">
        <v>8</v>
      </c>
      <c r="F11" s="5">
        <v>31.06</v>
      </c>
      <c r="G11" s="5" t="s">
        <v>1549</v>
      </c>
      <c r="H11" s="5" t="s">
        <v>1123</v>
      </c>
    </row>
    <row r="12" spans="1:11" ht="27" x14ac:dyDescent="0.25">
      <c r="A12" s="5" t="str">
        <f>"29/06/2025"</f>
        <v>29/06/2025</v>
      </c>
      <c r="B12" s="5" t="s">
        <v>1102</v>
      </c>
      <c r="C12" s="5">
        <v>0</v>
      </c>
      <c r="D12" s="5">
        <v>1</v>
      </c>
      <c r="E12" s="5">
        <v>7</v>
      </c>
      <c r="F12" s="5">
        <v>31.06</v>
      </c>
      <c r="G12" s="5" t="s">
        <v>1549</v>
      </c>
      <c r="H12" s="5" t="s">
        <v>1636</v>
      </c>
    </row>
    <row r="13" spans="1:11" ht="27" x14ac:dyDescent="0.25">
      <c r="A13" s="5" t="str">
        <f>"30/06/2025"</f>
        <v>30/06/2025</v>
      </c>
      <c r="B13" s="5" t="s">
        <v>1108</v>
      </c>
      <c r="C13" s="5">
        <v>0</v>
      </c>
      <c r="D13" s="5">
        <v>1</v>
      </c>
      <c r="E13" s="5">
        <v>6</v>
      </c>
      <c r="F13" s="5">
        <v>31.06</v>
      </c>
      <c r="G13" s="5" t="s">
        <v>1549</v>
      </c>
      <c r="H13" s="5" t="s">
        <v>1637</v>
      </c>
    </row>
    <row r="14" spans="1:11" ht="27" x14ac:dyDescent="0.25">
      <c r="A14" s="5" t="str">
        <f>"03/07/2025"</f>
        <v>03/07/2025</v>
      </c>
      <c r="B14" s="5" t="s">
        <v>1105</v>
      </c>
      <c r="C14" s="5">
        <v>0</v>
      </c>
      <c r="D14" s="5">
        <v>1</v>
      </c>
      <c r="E14" s="5">
        <v>5</v>
      </c>
      <c r="F14" s="5">
        <v>31.06</v>
      </c>
      <c r="G14" s="5" t="s">
        <v>1549</v>
      </c>
      <c r="H14" s="5" t="s">
        <v>1638</v>
      </c>
    </row>
    <row r="15" spans="1:11" ht="27" x14ac:dyDescent="0.25">
      <c r="A15" s="5" t="str">
        <f>"04/07/2025"</f>
        <v>04/07/2025</v>
      </c>
      <c r="B15" s="5" t="s">
        <v>1129</v>
      </c>
      <c r="C15" s="5">
        <v>0</v>
      </c>
      <c r="D15" s="5">
        <v>1</v>
      </c>
      <c r="E15" s="5">
        <v>4</v>
      </c>
      <c r="F15" s="5">
        <v>31.06</v>
      </c>
      <c r="G15" s="5" t="s">
        <v>1549</v>
      </c>
      <c r="H15" s="5" t="s">
        <v>1639</v>
      </c>
    </row>
    <row r="16" spans="1:11" ht="27" x14ac:dyDescent="0.25">
      <c r="A16" s="5" t="str">
        <f>"04/07/2025"</f>
        <v>04/07/2025</v>
      </c>
      <c r="B16" s="5" t="s">
        <v>1102</v>
      </c>
      <c r="C16" s="5">
        <v>0</v>
      </c>
      <c r="D16" s="5">
        <v>1</v>
      </c>
      <c r="E16" s="5">
        <v>3</v>
      </c>
      <c r="F16" s="5">
        <v>31.06</v>
      </c>
      <c r="G16" s="5" t="s">
        <v>1549</v>
      </c>
      <c r="H16" s="5" t="s">
        <v>1640</v>
      </c>
    </row>
    <row r="17" spans="1:8" ht="27" x14ac:dyDescent="0.25">
      <c r="A17" s="5" t="str">
        <f>"09/07/2025"</f>
        <v>09/07/2025</v>
      </c>
      <c r="B17" s="5" t="s">
        <v>1102</v>
      </c>
      <c r="C17" s="5">
        <v>0</v>
      </c>
      <c r="D17" s="5">
        <v>1</v>
      </c>
      <c r="E17" s="5">
        <v>2</v>
      </c>
      <c r="F17" s="5">
        <v>31.06</v>
      </c>
      <c r="G17" s="5" t="s">
        <v>1549</v>
      </c>
      <c r="H17" s="5" t="s">
        <v>1641</v>
      </c>
    </row>
    <row r="18" spans="1:8" ht="27" x14ac:dyDescent="0.25">
      <c r="A18" s="5" t="str">
        <f>"12/07/2025"</f>
        <v>12/07/2025</v>
      </c>
      <c r="B18" s="5" t="s">
        <v>1102</v>
      </c>
      <c r="C18" s="5">
        <v>0</v>
      </c>
      <c r="D18" s="5">
        <v>1</v>
      </c>
      <c r="E18" s="5">
        <v>1</v>
      </c>
      <c r="F18" s="5">
        <v>31.06</v>
      </c>
      <c r="G18" s="5" t="s">
        <v>1549</v>
      </c>
      <c r="H18" s="5" t="s">
        <v>1642</v>
      </c>
    </row>
    <row r="19" spans="1:8" ht="27" x14ac:dyDescent="0.25">
      <c r="A19" s="5" t="str">
        <f>"14/07/2025"</f>
        <v>14/07/2025</v>
      </c>
      <c r="B19" s="5" t="s">
        <v>1114</v>
      </c>
      <c r="C19" s="5">
        <v>24</v>
      </c>
      <c r="D19" s="5">
        <v>0</v>
      </c>
      <c r="E19" s="5">
        <v>25</v>
      </c>
      <c r="F19" s="5">
        <v>31.06</v>
      </c>
      <c r="G19" s="5" t="s">
        <v>1176</v>
      </c>
      <c r="H19" s="6"/>
    </row>
    <row r="20" spans="1:8" ht="27" x14ac:dyDescent="0.25">
      <c r="A20" s="5" t="str">
        <f>"15/07/2025"</f>
        <v>15/07/2025</v>
      </c>
      <c r="B20" s="5" t="s">
        <v>1102</v>
      </c>
      <c r="C20" s="5">
        <v>0</v>
      </c>
      <c r="D20" s="5">
        <v>1</v>
      </c>
      <c r="E20" s="5">
        <v>24</v>
      </c>
      <c r="F20" s="5">
        <v>31.06</v>
      </c>
      <c r="G20" s="5" t="s">
        <v>1549</v>
      </c>
      <c r="H20" s="5" t="s">
        <v>1643</v>
      </c>
    </row>
    <row r="21" spans="1:8" ht="27" x14ac:dyDescent="0.25">
      <c r="A21" s="5" t="str">
        <f>"18/07/2025"</f>
        <v>18/07/2025</v>
      </c>
      <c r="B21" s="5" t="s">
        <v>1114</v>
      </c>
      <c r="C21" s="5">
        <v>0</v>
      </c>
      <c r="D21" s="5">
        <v>2</v>
      </c>
      <c r="E21" s="5">
        <v>22</v>
      </c>
      <c r="F21" s="5">
        <v>31.06</v>
      </c>
      <c r="G21" s="5" t="s">
        <v>1176</v>
      </c>
      <c r="H21" s="5" t="s">
        <v>1644</v>
      </c>
    </row>
    <row r="22" spans="1:8" ht="27" x14ac:dyDescent="0.25">
      <c r="A22" s="5" t="str">
        <f>"18/07/2025"</f>
        <v>18/07/2025</v>
      </c>
      <c r="B22" s="5" t="s">
        <v>1129</v>
      </c>
      <c r="C22" s="5">
        <v>0</v>
      </c>
      <c r="D22" s="5">
        <v>1</v>
      </c>
      <c r="E22" s="5">
        <v>21</v>
      </c>
      <c r="F22" s="5">
        <v>31.06</v>
      </c>
      <c r="G22" s="5" t="s">
        <v>1176</v>
      </c>
      <c r="H22" s="5" t="s">
        <v>1645</v>
      </c>
    </row>
    <row r="23" spans="1:8" ht="27" x14ac:dyDescent="0.25">
      <c r="A23" s="5" t="str">
        <f>"18/07/2025"</f>
        <v>18/07/2025</v>
      </c>
      <c r="B23" s="5" t="s">
        <v>1102</v>
      </c>
      <c r="C23" s="5">
        <v>0</v>
      </c>
      <c r="D23" s="5">
        <v>1</v>
      </c>
      <c r="E23" s="5">
        <v>20</v>
      </c>
      <c r="F23" s="5">
        <v>31.06</v>
      </c>
      <c r="G23" s="5" t="s">
        <v>1176</v>
      </c>
      <c r="H23" s="5" t="s">
        <v>1646</v>
      </c>
    </row>
    <row r="24" spans="1:8" ht="27" x14ac:dyDescent="0.25">
      <c r="A24" s="5" t="str">
        <f>"18/07/2025"</f>
        <v>18/07/2025</v>
      </c>
      <c r="B24" s="5" t="s">
        <v>1102</v>
      </c>
      <c r="C24" s="5">
        <v>0</v>
      </c>
      <c r="D24" s="5">
        <v>1</v>
      </c>
      <c r="E24" s="5">
        <v>19</v>
      </c>
      <c r="F24" s="5">
        <v>31.06</v>
      </c>
      <c r="G24" s="5" t="s">
        <v>1176</v>
      </c>
      <c r="H24" s="5" t="s">
        <v>1647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EEEFB-858E-4651-8D1E-1F011D350F19}">
  <dimension ref="A1:K24"/>
  <sheetViews>
    <sheetView workbookViewId="0">
      <selection activeCell="C5" sqref="C5:I5"/>
    </sheetView>
  </sheetViews>
  <sheetFormatPr baseColWidth="10" defaultRowHeight="15" x14ac:dyDescent="0.25"/>
  <cols>
    <col min="1" max="1" width="16.140625" customWidth="1"/>
    <col min="2" max="2" width="34.85546875" customWidth="1"/>
    <col min="3" max="3" width="8.28515625" customWidth="1"/>
    <col min="4" max="4" width="7" customWidth="1"/>
    <col min="5" max="5" width="6.42578125" customWidth="1"/>
    <col min="6" max="6" width="19.42578125" customWidth="1"/>
    <col min="7" max="7" width="25.140625" customWidth="1"/>
    <col min="8" max="8" width="21.28515625" customWidth="1"/>
    <col min="9" max="9" width="16.42578125" customWidth="1"/>
    <col min="10" max="10" width="17.140625" customWidth="1"/>
    <col min="11" max="11" width="23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293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"6943074821340"</f>
        <v>6943074821340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"P0000000000073"</f>
        <v>P0000000000073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17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15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1105</v>
      </c>
      <c r="C10" s="5">
        <v>0</v>
      </c>
      <c r="D10" s="5">
        <v>1</v>
      </c>
      <c r="E10" s="5">
        <v>16</v>
      </c>
      <c r="F10" s="5">
        <v>25.42</v>
      </c>
      <c r="G10" s="5" t="s">
        <v>1549</v>
      </c>
      <c r="H10" s="5" t="s">
        <v>1648</v>
      </c>
    </row>
    <row r="11" spans="1:11" ht="27" x14ac:dyDescent="0.25">
      <c r="A11" s="5" t="str">
        <f>"25/06/2025"</f>
        <v>25/06/2025</v>
      </c>
      <c r="B11" s="5" t="s">
        <v>1102</v>
      </c>
      <c r="C11" s="5">
        <v>0</v>
      </c>
      <c r="D11" s="5">
        <v>1</v>
      </c>
      <c r="E11" s="5">
        <v>15</v>
      </c>
      <c r="F11" s="5">
        <v>25.42</v>
      </c>
      <c r="G11" s="5" t="s">
        <v>1549</v>
      </c>
      <c r="H11" s="5" t="s">
        <v>1635</v>
      </c>
    </row>
    <row r="12" spans="1:11" ht="27" x14ac:dyDescent="0.25">
      <c r="A12" s="5" t="str">
        <f>"25/06/2025"</f>
        <v>25/06/2025</v>
      </c>
      <c r="B12" s="5" t="s">
        <v>1114</v>
      </c>
      <c r="C12" s="5">
        <v>0</v>
      </c>
      <c r="D12" s="5">
        <v>1</v>
      </c>
      <c r="E12" s="5">
        <v>14</v>
      </c>
      <c r="F12" s="5">
        <v>25.42</v>
      </c>
      <c r="G12" s="5" t="s">
        <v>1549</v>
      </c>
      <c r="H12" s="5" t="s">
        <v>1649</v>
      </c>
    </row>
    <row r="13" spans="1:11" ht="27" x14ac:dyDescent="0.25">
      <c r="A13" s="5" t="str">
        <f>"27/06/2025"</f>
        <v>27/06/2025</v>
      </c>
      <c r="B13" s="5" t="s">
        <v>1108</v>
      </c>
      <c r="C13" s="5">
        <v>0</v>
      </c>
      <c r="D13" s="5">
        <v>1</v>
      </c>
      <c r="E13" s="5">
        <v>13</v>
      </c>
      <c r="F13" s="5">
        <v>25.42</v>
      </c>
      <c r="G13" s="5" t="s">
        <v>1549</v>
      </c>
      <c r="H13" s="5" t="s">
        <v>1123</v>
      </c>
    </row>
    <row r="14" spans="1:11" ht="27" x14ac:dyDescent="0.25">
      <c r="A14" s="5" t="str">
        <f>"29/06/2025"</f>
        <v>29/06/2025</v>
      </c>
      <c r="B14" s="5" t="s">
        <v>1102</v>
      </c>
      <c r="C14" s="5">
        <v>0</v>
      </c>
      <c r="D14" s="5">
        <v>1</v>
      </c>
      <c r="E14" s="5">
        <v>12</v>
      </c>
      <c r="F14" s="5">
        <v>25.42</v>
      </c>
      <c r="G14" s="5" t="s">
        <v>1549</v>
      </c>
      <c r="H14" s="5" t="s">
        <v>1636</v>
      </c>
    </row>
    <row r="15" spans="1:11" ht="27" x14ac:dyDescent="0.25">
      <c r="A15" s="5" t="str">
        <f>"03/07/2025"</f>
        <v>03/07/2025</v>
      </c>
      <c r="B15" s="5" t="s">
        <v>1105</v>
      </c>
      <c r="C15" s="5">
        <v>0</v>
      </c>
      <c r="D15" s="5">
        <v>1</v>
      </c>
      <c r="E15" s="5">
        <v>11</v>
      </c>
      <c r="F15" s="5">
        <v>25.42</v>
      </c>
      <c r="G15" s="5" t="s">
        <v>1205</v>
      </c>
      <c r="H15" s="5" t="s">
        <v>1638</v>
      </c>
    </row>
    <row r="16" spans="1:11" ht="27" x14ac:dyDescent="0.25">
      <c r="A16" s="5" t="str">
        <f>"04/07/2025"</f>
        <v>04/07/2025</v>
      </c>
      <c r="B16" s="5" t="s">
        <v>1129</v>
      </c>
      <c r="C16" s="5">
        <v>0</v>
      </c>
      <c r="D16" s="5">
        <v>1</v>
      </c>
      <c r="E16" s="5">
        <v>10</v>
      </c>
      <c r="F16" s="5">
        <v>25.42</v>
      </c>
      <c r="G16" s="5" t="s">
        <v>1205</v>
      </c>
      <c r="H16" s="5" t="s">
        <v>1639</v>
      </c>
    </row>
    <row r="17" spans="1:8" ht="27" x14ac:dyDescent="0.25">
      <c r="A17" s="5" t="str">
        <f>"04/07/2025"</f>
        <v>04/07/2025</v>
      </c>
      <c r="B17" s="5" t="s">
        <v>1102</v>
      </c>
      <c r="C17" s="5">
        <v>0</v>
      </c>
      <c r="D17" s="5">
        <v>1</v>
      </c>
      <c r="E17" s="5">
        <v>9</v>
      </c>
      <c r="F17" s="5">
        <v>25.42</v>
      </c>
      <c r="G17" s="5" t="s">
        <v>1205</v>
      </c>
      <c r="H17" s="5" t="s">
        <v>1640</v>
      </c>
    </row>
    <row r="18" spans="1:8" ht="27" x14ac:dyDescent="0.25">
      <c r="A18" s="5" t="str">
        <f>"09/07/2025"</f>
        <v>09/07/2025</v>
      </c>
      <c r="B18" s="5" t="s">
        <v>1108</v>
      </c>
      <c r="C18" s="5">
        <v>0</v>
      </c>
      <c r="D18" s="5">
        <v>1</v>
      </c>
      <c r="E18" s="5">
        <v>8</v>
      </c>
      <c r="F18" s="5">
        <v>25.42</v>
      </c>
      <c r="G18" s="5" t="s">
        <v>1205</v>
      </c>
      <c r="H18" s="5" t="s">
        <v>1650</v>
      </c>
    </row>
    <row r="19" spans="1:8" ht="27" x14ac:dyDescent="0.25">
      <c r="A19" s="5" t="str">
        <f>"09/07/2025"</f>
        <v>09/07/2025</v>
      </c>
      <c r="B19" s="5" t="s">
        <v>1102</v>
      </c>
      <c r="C19" s="5">
        <v>0</v>
      </c>
      <c r="D19" s="5">
        <v>1</v>
      </c>
      <c r="E19" s="5">
        <v>7</v>
      </c>
      <c r="F19" s="5">
        <v>25.42</v>
      </c>
      <c r="G19" s="5" t="s">
        <v>1205</v>
      </c>
      <c r="H19" s="5" t="s">
        <v>1641</v>
      </c>
    </row>
    <row r="20" spans="1:8" ht="27" x14ac:dyDescent="0.25">
      <c r="A20" s="5" t="str">
        <f>"12/07/2025"</f>
        <v>12/07/2025</v>
      </c>
      <c r="B20" s="5" t="s">
        <v>1102</v>
      </c>
      <c r="C20" s="5">
        <v>0</v>
      </c>
      <c r="D20" s="5">
        <v>1</v>
      </c>
      <c r="E20" s="5">
        <v>6</v>
      </c>
      <c r="F20" s="5">
        <v>25.42</v>
      </c>
      <c r="G20" s="5" t="s">
        <v>1205</v>
      </c>
      <c r="H20" s="5" t="s">
        <v>1642</v>
      </c>
    </row>
    <row r="21" spans="1:8" ht="27" x14ac:dyDescent="0.25">
      <c r="A21" s="5" t="str">
        <f>"14/07/2025"</f>
        <v>14/07/2025</v>
      </c>
      <c r="B21" s="5" t="s">
        <v>1114</v>
      </c>
      <c r="C21" s="5">
        <v>12</v>
      </c>
      <c r="D21" s="5">
        <v>0</v>
      </c>
      <c r="E21" s="5">
        <v>18</v>
      </c>
      <c r="F21" s="5">
        <v>25.42</v>
      </c>
      <c r="G21" s="5" t="s">
        <v>1176</v>
      </c>
      <c r="H21" s="6"/>
    </row>
    <row r="22" spans="1:8" ht="27" x14ac:dyDescent="0.25">
      <c r="A22" s="5" t="str">
        <f>"18/07/2025"</f>
        <v>18/07/2025</v>
      </c>
      <c r="B22" s="5" t="s">
        <v>1129</v>
      </c>
      <c r="C22" s="5">
        <v>0</v>
      </c>
      <c r="D22" s="5">
        <v>1</v>
      </c>
      <c r="E22" s="5">
        <v>17</v>
      </c>
      <c r="F22" s="5">
        <v>25.42</v>
      </c>
      <c r="G22" s="5" t="s">
        <v>1205</v>
      </c>
      <c r="H22" s="5" t="s">
        <v>1645</v>
      </c>
    </row>
    <row r="23" spans="1:8" ht="27" x14ac:dyDescent="0.25">
      <c r="A23" s="5" t="str">
        <f>"18/07/2025"</f>
        <v>18/07/2025</v>
      </c>
      <c r="B23" s="5" t="s">
        <v>1102</v>
      </c>
      <c r="C23" s="5">
        <v>0</v>
      </c>
      <c r="D23" s="5">
        <v>1</v>
      </c>
      <c r="E23" s="5">
        <v>16</v>
      </c>
      <c r="F23" s="5">
        <v>25.42</v>
      </c>
      <c r="G23" s="5" t="s">
        <v>1205</v>
      </c>
      <c r="H23" s="5" t="s">
        <v>1646</v>
      </c>
    </row>
    <row r="24" spans="1:8" ht="27" x14ac:dyDescent="0.25">
      <c r="A24" s="5" t="str">
        <f>"18/07/2025"</f>
        <v>18/07/2025</v>
      </c>
      <c r="B24" s="5" t="s">
        <v>1102</v>
      </c>
      <c r="C24" s="5">
        <v>0</v>
      </c>
      <c r="D24" s="5">
        <v>1</v>
      </c>
      <c r="E24" s="5">
        <v>15</v>
      </c>
      <c r="F24" s="5">
        <v>25.42</v>
      </c>
      <c r="G24" s="5" t="s">
        <v>1205</v>
      </c>
      <c r="H24" s="5" t="s">
        <v>1647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3B4D7-7B15-4CBD-AC68-E59C4AC532C9}">
  <dimension ref="A1:K20"/>
  <sheetViews>
    <sheetView workbookViewId="0">
      <selection activeCell="C4" sqref="C4:I4"/>
    </sheetView>
  </sheetViews>
  <sheetFormatPr baseColWidth="10" defaultRowHeight="15" x14ac:dyDescent="0.25"/>
  <cols>
    <col min="1" max="1" width="15.5703125" customWidth="1"/>
    <col min="2" max="2" width="34.85546875" customWidth="1"/>
    <col min="3" max="3" width="8.28515625" customWidth="1"/>
    <col min="4" max="4" width="7" customWidth="1"/>
    <col min="5" max="5" width="6.42578125" customWidth="1"/>
    <col min="6" max="6" width="19.42578125" customWidth="1"/>
    <col min="7" max="7" width="25.140625" customWidth="1"/>
    <col min="8" max="8" width="21.28515625" customWidth="1"/>
    <col min="9" max="9" width="16.42578125" customWidth="1"/>
    <col min="10" max="10" width="17.140625" customWidth="1"/>
    <col min="11" max="11" width="23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213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"6943074126344"</f>
        <v>6943074126344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"P0000000000075"</f>
        <v>P0000000000075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8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10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"20/06/2025"</f>
        <v>20/06/2025</v>
      </c>
      <c r="B10" s="5" t="s">
        <v>1105</v>
      </c>
      <c r="C10" s="5">
        <v>0</v>
      </c>
      <c r="D10" s="5">
        <v>1</v>
      </c>
      <c r="E10" s="5">
        <v>7</v>
      </c>
      <c r="F10" s="5">
        <v>25.42</v>
      </c>
      <c r="G10" s="5" t="s">
        <v>1106</v>
      </c>
      <c r="H10" s="5" t="s">
        <v>1651</v>
      </c>
    </row>
    <row r="11" spans="1:11" ht="27" x14ac:dyDescent="0.25">
      <c r="A11" s="5" t="str">
        <f>"25/06/2025"</f>
        <v>25/06/2025</v>
      </c>
      <c r="B11" s="5" t="s">
        <v>1102</v>
      </c>
      <c r="C11" s="5">
        <v>0</v>
      </c>
      <c r="D11" s="5">
        <v>1</v>
      </c>
      <c r="E11" s="5">
        <v>6</v>
      </c>
      <c r="F11" s="5">
        <v>25.42</v>
      </c>
      <c r="G11" s="5" t="s">
        <v>1106</v>
      </c>
      <c r="H11" s="5" t="s">
        <v>1635</v>
      </c>
    </row>
    <row r="12" spans="1:11" ht="27" x14ac:dyDescent="0.25">
      <c r="A12" s="5" t="str">
        <f>"27/06/2025"</f>
        <v>27/06/2025</v>
      </c>
      <c r="B12" s="5" t="s">
        <v>1108</v>
      </c>
      <c r="C12" s="5">
        <v>0</v>
      </c>
      <c r="D12" s="5">
        <v>1</v>
      </c>
      <c r="E12" s="5">
        <v>5</v>
      </c>
      <c r="F12" s="5">
        <v>25.42</v>
      </c>
      <c r="G12" s="5" t="s">
        <v>1106</v>
      </c>
      <c r="H12" s="5" t="s">
        <v>1123</v>
      </c>
    </row>
    <row r="13" spans="1:11" ht="27" x14ac:dyDescent="0.25">
      <c r="A13" s="5" t="str">
        <f>"02/07/2025"</f>
        <v>02/07/2025</v>
      </c>
      <c r="B13" s="5" t="s">
        <v>1114</v>
      </c>
      <c r="C13" s="5">
        <v>12</v>
      </c>
      <c r="D13" s="5">
        <v>0</v>
      </c>
      <c r="E13" s="5">
        <v>17</v>
      </c>
      <c r="F13" s="5">
        <v>25.42</v>
      </c>
      <c r="G13" s="5" t="s">
        <v>1141</v>
      </c>
      <c r="H13" s="6"/>
    </row>
    <row r="14" spans="1:11" ht="27" x14ac:dyDescent="0.25">
      <c r="A14" s="5" t="str">
        <f>"04/07/2025"</f>
        <v>04/07/2025</v>
      </c>
      <c r="B14" s="5" t="s">
        <v>1129</v>
      </c>
      <c r="C14" s="5">
        <v>0</v>
      </c>
      <c r="D14" s="5">
        <v>1</v>
      </c>
      <c r="E14" s="5">
        <v>16</v>
      </c>
      <c r="F14" s="5">
        <v>25.42</v>
      </c>
      <c r="G14" s="5" t="s">
        <v>1106</v>
      </c>
      <c r="H14" s="5" t="s">
        <v>1639</v>
      </c>
    </row>
    <row r="15" spans="1:11" ht="27" x14ac:dyDescent="0.25">
      <c r="A15" s="5" t="str">
        <f>"09/07/2025"</f>
        <v>09/07/2025</v>
      </c>
      <c r="B15" s="5" t="s">
        <v>1108</v>
      </c>
      <c r="C15" s="5">
        <v>0</v>
      </c>
      <c r="D15" s="5">
        <v>1</v>
      </c>
      <c r="E15" s="5">
        <v>15</v>
      </c>
      <c r="F15" s="5">
        <v>25.42</v>
      </c>
      <c r="G15" s="5" t="s">
        <v>1106</v>
      </c>
      <c r="H15" s="5" t="s">
        <v>1650</v>
      </c>
    </row>
    <row r="16" spans="1:11" ht="27" x14ac:dyDescent="0.25">
      <c r="A16" s="5" t="str">
        <f>"12/07/2025"</f>
        <v>12/07/2025</v>
      </c>
      <c r="B16" s="5" t="s">
        <v>1108</v>
      </c>
      <c r="C16" s="5">
        <v>0</v>
      </c>
      <c r="D16" s="5">
        <v>1</v>
      </c>
      <c r="E16" s="5">
        <v>14</v>
      </c>
      <c r="F16" s="5">
        <v>25.42</v>
      </c>
      <c r="G16" s="5" t="s">
        <v>1106</v>
      </c>
      <c r="H16" s="5" t="s">
        <v>1652</v>
      </c>
    </row>
    <row r="17" spans="1:8" ht="27" x14ac:dyDescent="0.25">
      <c r="A17" s="5" t="str">
        <f>"12/07/2025"</f>
        <v>12/07/2025</v>
      </c>
      <c r="B17" s="5" t="s">
        <v>1102</v>
      </c>
      <c r="C17" s="5">
        <v>0</v>
      </c>
      <c r="D17" s="5">
        <v>1</v>
      </c>
      <c r="E17" s="5">
        <v>13</v>
      </c>
      <c r="F17" s="5">
        <v>25.42</v>
      </c>
      <c r="G17" s="5" t="s">
        <v>1106</v>
      </c>
      <c r="H17" s="5" t="s">
        <v>1642</v>
      </c>
    </row>
    <row r="18" spans="1:8" ht="27" x14ac:dyDescent="0.25">
      <c r="A18" s="5" t="str">
        <f>"16/07/2025"</f>
        <v>16/07/2025</v>
      </c>
      <c r="B18" s="5" t="s">
        <v>1114</v>
      </c>
      <c r="C18" s="5">
        <v>0</v>
      </c>
      <c r="D18" s="5">
        <v>1</v>
      </c>
      <c r="E18" s="5">
        <v>12</v>
      </c>
      <c r="F18" s="5">
        <v>25.42</v>
      </c>
      <c r="G18" s="5" t="s">
        <v>1106</v>
      </c>
      <c r="H18" s="5" t="s">
        <v>1653</v>
      </c>
    </row>
    <row r="19" spans="1:8" ht="27" x14ac:dyDescent="0.25">
      <c r="A19" s="5" t="str">
        <f>"18/07/2025"</f>
        <v>18/07/2025</v>
      </c>
      <c r="B19" s="5" t="s">
        <v>1102</v>
      </c>
      <c r="C19" s="5">
        <v>0</v>
      </c>
      <c r="D19" s="5">
        <v>1</v>
      </c>
      <c r="E19" s="5">
        <v>11</v>
      </c>
      <c r="F19" s="5">
        <v>25.42</v>
      </c>
      <c r="G19" s="5" t="s">
        <v>1141</v>
      </c>
      <c r="H19" s="5" t="s">
        <v>1646</v>
      </c>
    </row>
    <row r="20" spans="1:8" ht="27" x14ac:dyDescent="0.25">
      <c r="A20" s="5" t="str">
        <f>"18/07/2025"</f>
        <v>18/07/2025</v>
      </c>
      <c r="B20" s="5" t="s">
        <v>1102</v>
      </c>
      <c r="C20" s="5">
        <v>0</v>
      </c>
      <c r="D20" s="5">
        <v>1</v>
      </c>
      <c r="E20" s="5">
        <v>10</v>
      </c>
      <c r="F20" s="5">
        <v>25.42</v>
      </c>
      <c r="G20" s="5" t="s">
        <v>1141</v>
      </c>
      <c r="H20" s="5" t="s">
        <v>1647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F5300-59A0-455E-A0CF-5A673BC9A1ED}">
  <dimension ref="A1:K15"/>
  <sheetViews>
    <sheetView workbookViewId="0">
      <selection sqref="A1:XFD1048576"/>
    </sheetView>
  </sheetViews>
  <sheetFormatPr baseColWidth="10" defaultColWidth="13.28515625" defaultRowHeight="15" x14ac:dyDescent="0.25"/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1654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"3474637215163"</f>
        <v>3474637215163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"3474637215163"</f>
        <v>3474637215163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6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0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"27/06/2025"</f>
        <v>27/06/2025</v>
      </c>
      <c r="B10" s="5" t="s">
        <v>1129</v>
      </c>
      <c r="C10" s="5">
        <v>0</v>
      </c>
      <c r="D10" s="5">
        <v>1</v>
      </c>
      <c r="E10" s="5">
        <v>5</v>
      </c>
      <c r="F10" s="5">
        <v>95</v>
      </c>
      <c r="G10" s="5" t="s">
        <v>1655</v>
      </c>
      <c r="H10" s="5" t="s">
        <v>1492</v>
      </c>
    </row>
    <row r="11" spans="1:11" ht="27" x14ac:dyDescent="0.25">
      <c r="A11" s="5" t="str">
        <f>"30/06/2025"</f>
        <v>30/06/2025</v>
      </c>
      <c r="B11" s="5" t="s">
        <v>1108</v>
      </c>
      <c r="C11" s="5">
        <v>0</v>
      </c>
      <c r="D11" s="5">
        <v>1</v>
      </c>
      <c r="E11" s="5">
        <v>4</v>
      </c>
      <c r="F11" s="5">
        <v>95</v>
      </c>
      <c r="G11" s="5" t="s">
        <v>1560</v>
      </c>
      <c r="H11" s="5" t="s">
        <v>1656</v>
      </c>
    </row>
    <row r="12" spans="1:11" ht="27" x14ac:dyDescent="0.25">
      <c r="A12" s="5" t="str">
        <f>"06/07/2025"</f>
        <v>06/07/2025</v>
      </c>
      <c r="B12" s="5" t="s">
        <v>1102</v>
      </c>
      <c r="C12" s="5">
        <v>0</v>
      </c>
      <c r="D12" s="5">
        <v>1</v>
      </c>
      <c r="E12" s="5">
        <v>3</v>
      </c>
      <c r="F12" s="5">
        <v>95</v>
      </c>
      <c r="G12" s="5" t="s">
        <v>1560</v>
      </c>
      <c r="H12" s="5" t="s">
        <v>1657</v>
      </c>
    </row>
    <row r="13" spans="1:11" ht="27" x14ac:dyDescent="0.25">
      <c r="A13" s="5" t="str">
        <f>"10/07/2025"</f>
        <v>10/07/2025</v>
      </c>
      <c r="B13" s="5" t="s">
        <v>1102</v>
      </c>
      <c r="C13" s="5">
        <v>0</v>
      </c>
      <c r="D13" s="5">
        <v>1</v>
      </c>
      <c r="E13" s="5">
        <v>2</v>
      </c>
      <c r="F13" s="5">
        <v>95</v>
      </c>
      <c r="G13" s="5" t="s">
        <v>1551</v>
      </c>
      <c r="H13" s="5" t="s">
        <v>1658</v>
      </c>
    </row>
    <row r="14" spans="1:11" ht="27" x14ac:dyDescent="0.25">
      <c r="A14" s="5" t="str">
        <f>"14/07/2025"</f>
        <v>14/07/2025</v>
      </c>
      <c r="B14" s="5" t="s">
        <v>1114</v>
      </c>
      <c r="C14" s="5">
        <v>0</v>
      </c>
      <c r="D14" s="5">
        <v>1</v>
      </c>
      <c r="E14" s="5">
        <v>1</v>
      </c>
      <c r="F14" s="5">
        <v>95</v>
      </c>
      <c r="G14" s="5" t="s">
        <v>1551</v>
      </c>
      <c r="H14" s="5" t="s">
        <v>1659</v>
      </c>
    </row>
    <row r="15" spans="1:11" ht="27" x14ac:dyDescent="0.25">
      <c r="A15" s="5" t="str">
        <f>"20/07/2025"</f>
        <v>20/07/2025</v>
      </c>
      <c r="B15" s="5" t="s">
        <v>1102</v>
      </c>
      <c r="C15" s="5">
        <v>0</v>
      </c>
      <c r="D15" s="5">
        <v>1</v>
      </c>
      <c r="E15" s="5">
        <v>0</v>
      </c>
      <c r="F15" s="5">
        <v>95</v>
      </c>
      <c r="G15" s="5" t="s">
        <v>1551</v>
      </c>
      <c r="H15" s="5" t="s">
        <v>1559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CCF66-ABDC-4763-BE3F-50B9B8BF335F}">
  <dimension ref="A1:K18"/>
  <sheetViews>
    <sheetView workbookViewId="0">
      <selection activeCell="I12" sqref="I12"/>
    </sheetView>
  </sheetViews>
  <sheetFormatPr baseColWidth="10" defaultRowHeight="15" x14ac:dyDescent="0.25"/>
  <cols>
    <col min="1" max="1" width="13.28515625" customWidth="1"/>
    <col min="2" max="2" width="22.42578125" customWidth="1"/>
    <col min="3" max="3" width="9" customWidth="1"/>
    <col min="4" max="4" width="7.42578125" customWidth="1"/>
    <col min="5" max="5" width="6.85546875" customWidth="1"/>
    <col min="6" max="6" width="20.85546875" customWidth="1"/>
    <col min="7" max="7" width="28.7109375" customWidth="1"/>
    <col min="8" max="8" width="23" customWidth="1"/>
    <col min="9" max="9" width="17.7109375" customWidth="1"/>
    <col min="10" max="10" width="18.42578125" customWidth="1"/>
    <col min="11" max="11" width="25.140625" customWidth="1"/>
  </cols>
  <sheetData>
    <row r="1" spans="1:11" x14ac:dyDescent="0.25">
      <c r="A1" s="2" t="s">
        <v>1083</v>
      </c>
      <c r="B1" s="2"/>
      <c r="C1" s="2" t="s">
        <v>1084</v>
      </c>
      <c r="D1" s="2"/>
      <c r="E1" s="2"/>
      <c r="F1" s="2"/>
      <c r="G1" s="2"/>
      <c r="H1" s="2"/>
      <c r="I1" s="2"/>
    </row>
    <row r="2" spans="1:11" x14ac:dyDescent="0.25">
      <c r="A2" s="2" t="s">
        <v>1085</v>
      </c>
      <c r="B2" s="2"/>
      <c r="C2" s="2" t="s">
        <v>95</v>
      </c>
      <c r="D2" s="2"/>
      <c r="E2" s="2"/>
      <c r="F2" s="2"/>
      <c r="G2" s="2"/>
      <c r="H2" s="2"/>
      <c r="I2" s="2"/>
    </row>
    <row r="3" spans="1:11" x14ac:dyDescent="0.25">
      <c r="A3" s="2" t="s">
        <v>1086</v>
      </c>
      <c r="B3" s="2"/>
      <c r="C3" s="2" t="str">
        <f>"8022297095868"</f>
        <v>8022297095868</v>
      </c>
      <c r="D3" s="2"/>
      <c r="E3" s="2"/>
      <c r="F3" s="2"/>
      <c r="G3" s="2"/>
      <c r="H3" s="2"/>
      <c r="I3" s="2"/>
    </row>
    <row r="4" spans="1:11" x14ac:dyDescent="0.25">
      <c r="A4" s="2" t="s">
        <v>2</v>
      </c>
      <c r="B4" s="2"/>
      <c r="C4" s="2" t="str">
        <f>"8022297095868"</f>
        <v>8022297095868</v>
      </c>
      <c r="D4" s="2"/>
      <c r="E4" s="2"/>
      <c r="F4" s="2"/>
      <c r="G4" s="2"/>
      <c r="H4" s="2"/>
      <c r="I4" s="2"/>
    </row>
    <row r="5" spans="1:11" x14ac:dyDescent="0.25">
      <c r="A5" s="2" t="s">
        <v>1087</v>
      </c>
      <c r="B5" s="2"/>
      <c r="C5" s="2" t="s">
        <v>1088</v>
      </c>
      <c r="D5" s="2"/>
      <c r="E5" s="2"/>
      <c r="F5" s="2"/>
      <c r="G5" s="2"/>
      <c r="H5" s="2"/>
      <c r="I5" s="2"/>
    </row>
    <row r="6" spans="1:11" x14ac:dyDescent="0.25">
      <c r="A6" s="2" t="s">
        <v>1089</v>
      </c>
      <c r="B6" s="2"/>
      <c r="C6" s="2">
        <v>6</v>
      </c>
      <c r="D6" s="2"/>
      <c r="E6" s="2"/>
      <c r="F6" s="2"/>
      <c r="G6" s="2"/>
      <c r="H6" s="2"/>
      <c r="I6" s="2"/>
    </row>
    <row r="7" spans="1:11" x14ac:dyDescent="0.25">
      <c r="A7" s="2" t="s">
        <v>1090</v>
      </c>
      <c r="B7" s="2"/>
      <c r="C7" s="2">
        <v>7</v>
      </c>
      <c r="D7" s="2"/>
      <c r="E7" s="2"/>
      <c r="F7" s="2"/>
      <c r="G7" s="2"/>
      <c r="H7" s="2"/>
      <c r="I7" s="2"/>
    </row>
    <row r="8" spans="1:11" x14ac:dyDescent="0.25">
      <c r="A8" s="3"/>
      <c r="B8" s="3"/>
      <c r="C8" s="3"/>
      <c r="D8" s="3"/>
      <c r="E8" s="3"/>
      <c r="F8" s="3"/>
      <c r="G8" s="3"/>
      <c r="H8" s="3"/>
      <c r="I8" s="3"/>
    </row>
    <row r="9" spans="1:11" x14ac:dyDescent="0.25">
      <c r="A9" s="4" t="s">
        <v>1091</v>
      </c>
      <c r="B9" s="4" t="s">
        <v>1092</v>
      </c>
      <c r="C9" s="4" t="s">
        <v>1093</v>
      </c>
      <c r="D9" s="4" t="s">
        <v>1094</v>
      </c>
      <c r="E9" s="4" t="s">
        <v>1095</v>
      </c>
      <c r="F9" s="4" t="s">
        <v>1096</v>
      </c>
      <c r="G9" s="4" t="s">
        <v>1097</v>
      </c>
      <c r="H9" s="4" t="s">
        <v>1098</v>
      </c>
      <c r="I9" s="4" t="s">
        <v>1099</v>
      </c>
      <c r="J9" s="4" t="s">
        <v>1100</v>
      </c>
      <c r="K9" s="4" t="s">
        <v>1101</v>
      </c>
    </row>
    <row r="10" spans="1:11" ht="27" x14ac:dyDescent="0.25">
      <c r="A10" s="5" t="str">
        <f>"22/06/2025"</f>
        <v>22/06/2025</v>
      </c>
      <c r="B10" s="5" t="s">
        <v>1102</v>
      </c>
      <c r="C10" s="5">
        <v>0</v>
      </c>
      <c r="D10" s="5">
        <v>1</v>
      </c>
      <c r="E10" s="5">
        <v>5</v>
      </c>
      <c r="F10" s="5">
        <v>32.65</v>
      </c>
      <c r="G10" s="5" t="s">
        <v>1288</v>
      </c>
      <c r="H10" s="5" t="s">
        <v>1660</v>
      </c>
    </row>
    <row r="11" spans="1:11" ht="27" x14ac:dyDescent="0.25">
      <c r="A11" s="5" t="str">
        <f>"23/06/2025"</f>
        <v>23/06/2025</v>
      </c>
      <c r="B11" s="5" t="s">
        <v>1108</v>
      </c>
      <c r="C11" s="5">
        <v>0</v>
      </c>
      <c r="D11" s="5">
        <v>1</v>
      </c>
      <c r="E11" s="5">
        <v>4</v>
      </c>
      <c r="F11" s="5">
        <v>32.65</v>
      </c>
      <c r="G11" s="5" t="s">
        <v>1288</v>
      </c>
      <c r="H11" s="5" t="s">
        <v>1661</v>
      </c>
    </row>
    <row r="12" spans="1:11" ht="27" x14ac:dyDescent="0.25">
      <c r="A12" s="5" t="str">
        <f>"01/07/2025"</f>
        <v>01/07/2025</v>
      </c>
      <c r="B12" s="5" t="s">
        <v>1129</v>
      </c>
      <c r="C12" s="5">
        <v>0</v>
      </c>
      <c r="D12" s="5">
        <v>1</v>
      </c>
      <c r="E12" s="5">
        <v>3</v>
      </c>
      <c r="F12" s="5">
        <v>32.65</v>
      </c>
      <c r="G12" s="5" t="s">
        <v>1288</v>
      </c>
      <c r="H12" s="5" t="s">
        <v>1662</v>
      </c>
    </row>
    <row r="13" spans="1:11" ht="27" x14ac:dyDescent="0.25">
      <c r="A13" s="5" t="str">
        <f>"05/07/2025"</f>
        <v>05/07/2025</v>
      </c>
      <c r="B13" s="5" t="s">
        <v>1102</v>
      </c>
      <c r="C13" s="5">
        <v>0</v>
      </c>
      <c r="D13" s="5">
        <v>1</v>
      </c>
      <c r="E13" s="5">
        <v>2</v>
      </c>
      <c r="F13" s="5">
        <v>32.65</v>
      </c>
      <c r="G13" s="5" t="s">
        <v>1288</v>
      </c>
      <c r="H13" s="5" t="s">
        <v>1663</v>
      </c>
    </row>
    <row r="14" spans="1:11" ht="27" x14ac:dyDescent="0.25">
      <c r="A14" s="5" t="str">
        <f>"07/07/2025"</f>
        <v>07/07/2025</v>
      </c>
      <c r="B14" s="5" t="s">
        <v>1129</v>
      </c>
      <c r="C14" s="5">
        <v>0</v>
      </c>
      <c r="D14" s="5">
        <v>1</v>
      </c>
      <c r="E14" s="5">
        <v>1</v>
      </c>
      <c r="F14" s="5">
        <v>32.65</v>
      </c>
      <c r="G14" s="5" t="s">
        <v>1288</v>
      </c>
      <c r="H14" s="5" t="s">
        <v>1664</v>
      </c>
    </row>
    <row r="15" spans="1:11" ht="27" x14ac:dyDescent="0.25">
      <c r="A15" s="5" t="str">
        <f>"09/07/2025"</f>
        <v>09/07/2025</v>
      </c>
      <c r="B15" s="5" t="s">
        <v>1114</v>
      </c>
      <c r="C15" s="5">
        <v>9</v>
      </c>
      <c r="D15" s="5">
        <v>0</v>
      </c>
      <c r="E15" s="5">
        <v>10</v>
      </c>
      <c r="F15" s="5">
        <v>32.65</v>
      </c>
      <c r="G15" s="5" t="s">
        <v>1300</v>
      </c>
      <c r="H15" s="6"/>
    </row>
    <row r="16" spans="1:11" ht="27" x14ac:dyDescent="0.25">
      <c r="A16" s="5" t="str">
        <f>"13/07/2025"</f>
        <v>13/07/2025</v>
      </c>
      <c r="B16" s="5" t="s">
        <v>1102</v>
      </c>
      <c r="C16" s="5">
        <v>0</v>
      </c>
      <c r="D16" s="5">
        <v>1</v>
      </c>
      <c r="E16" s="5">
        <v>9</v>
      </c>
      <c r="F16" s="5">
        <v>32.65</v>
      </c>
      <c r="G16" s="5" t="s">
        <v>1288</v>
      </c>
      <c r="H16" s="5" t="s">
        <v>1665</v>
      </c>
    </row>
    <row r="17" spans="1:8" ht="27" x14ac:dyDescent="0.25">
      <c r="A17" s="5" t="str">
        <f>"14/07/2025"</f>
        <v>14/07/2025</v>
      </c>
      <c r="B17" s="5" t="s">
        <v>1129</v>
      </c>
      <c r="C17" s="5">
        <v>0</v>
      </c>
      <c r="D17" s="5">
        <v>1</v>
      </c>
      <c r="E17" s="5">
        <v>8</v>
      </c>
      <c r="F17" s="5">
        <v>32.65</v>
      </c>
      <c r="G17" s="5" t="s">
        <v>1300</v>
      </c>
      <c r="H17" s="5" t="s">
        <v>1666</v>
      </c>
    </row>
    <row r="18" spans="1:8" ht="27" x14ac:dyDescent="0.25">
      <c r="A18" s="5" t="str">
        <f>"18/07/2025"</f>
        <v>18/07/2025</v>
      </c>
      <c r="B18" s="5" t="s">
        <v>1102</v>
      </c>
      <c r="C18" s="5">
        <v>0</v>
      </c>
      <c r="D18" s="5">
        <v>1</v>
      </c>
      <c r="E18" s="5">
        <v>7</v>
      </c>
      <c r="F18" s="5">
        <v>32.65</v>
      </c>
      <c r="G18" s="5" t="s">
        <v>1300</v>
      </c>
      <c r="H18" s="5" t="s">
        <v>1347</v>
      </c>
    </row>
  </sheetData>
  <mergeCells count="15">
    <mergeCell ref="A7:B7"/>
    <mergeCell ref="C7:I7"/>
    <mergeCell ref="A8:I8"/>
    <mergeCell ref="A4:B4"/>
    <mergeCell ref="C4:I4"/>
    <mergeCell ref="A5:B5"/>
    <mergeCell ref="C5:I5"/>
    <mergeCell ref="A6:B6"/>
    <mergeCell ref="C6:I6"/>
    <mergeCell ref="A1:B1"/>
    <mergeCell ref="C1:I1"/>
    <mergeCell ref="A2:B2"/>
    <mergeCell ref="C2:I2"/>
    <mergeCell ref="A3:B3"/>
    <mergeCell ref="C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51</vt:i4>
      </vt:variant>
    </vt:vector>
  </HeadingPairs>
  <TitlesOfParts>
    <vt:vector size="51" baseType="lpstr">
      <vt:lpstr>DETALLE DE PRODUCTOS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32</vt:lpstr>
      <vt:lpstr>33</vt:lpstr>
      <vt:lpstr>34</vt:lpstr>
      <vt:lpstr>35</vt:lpstr>
      <vt:lpstr>36</vt:lpstr>
      <vt:lpstr>37</vt:lpstr>
      <vt:lpstr>38</vt:lpstr>
      <vt:lpstr>39</vt:lpstr>
      <vt:lpstr>40</vt:lpstr>
      <vt:lpstr>41</vt:lpstr>
      <vt:lpstr>42</vt:lpstr>
      <vt:lpstr>43</vt:lpstr>
      <vt:lpstr>44</vt:lpstr>
      <vt:lpstr>45</vt:lpstr>
      <vt:lpstr>46</vt:lpstr>
      <vt:lpstr>47</vt:lpstr>
      <vt:lpstr>48</vt:lpstr>
      <vt:lpstr>49</vt:lpstr>
      <vt:lpstr>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Centeno Puchuri</dc:creator>
  <cp:lastModifiedBy>Carlos Centeno Puchuri</cp:lastModifiedBy>
  <dcterms:created xsi:type="dcterms:W3CDTF">2025-07-21T21:07:06Z</dcterms:created>
  <dcterms:modified xsi:type="dcterms:W3CDTF">2025-07-21T22:56:30Z</dcterms:modified>
</cp:coreProperties>
</file>